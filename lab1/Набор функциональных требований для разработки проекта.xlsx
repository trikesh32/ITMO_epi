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7.xml" ContentType="application/vnd.openxmlformats-officedocument.spreadsheetml.worksheet+xml"/>
  <Override PartName="/xl/worksheets/sheet1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4.xml" ContentType="application/vnd.openxmlformats-officedocument.drawing+xml"/>
  <Override PartName="/xl/drawings/drawing13.xml" ContentType="application/vnd.openxmlformats-officedocument.drawing+xml"/>
  <Override PartName="/xl/drawings/drawing5.xml" ContentType="application/vnd.openxmlformats-officedocument.drawing+xml"/>
  <Override PartName="/xl/drawings/drawing3.xml" ContentType="application/vnd.openxmlformats-officedocument.drawing+xml"/>
  <Override PartName="/xl/drawings/drawing15.xml" ContentType="application/vnd.openxmlformats-officedocument.drawing+xml"/>
  <Override PartName="/xl/drawings/drawing2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16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2.xml" ContentType="application/vnd.openxmlformats-officedocument.drawing+xml"/>
  <Override PartName="/xl/drawings/drawing1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Пояснения" sheetId="1" state="visible" r:id="rId3"/>
    <sheet name="Требования" sheetId="2" state="visible" r:id="rId4"/>
    <sheet name="Работы" sheetId="3" state="visible" r:id="rId5"/>
    <sheet name="CPM" sheetId="4" state="visible" r:id="rId6"/>
    <sheet name="Команда" sheetId="5" state="visible" r:id="rId7"/>
    <sheet name="Расписание" sheetId="6" state="visible" r:id="rId8"/>
    <sheet name="FP данные" sheetId="7" state="visible" r:id="rId9"/>
    <sheet name="FP транзакции" sheetId="8" state="visible" r:id="rId10"/>
    <sheet name="VAF" sheetId="9" state="visible" r:id="rId11"/>
    <sheet name="COCOMO факторы" sheetId="10" state="visible" r:id="rId12"/>
    <sheet name="UCP прецеденты" sheetId="11" state="visible" r:id="rId13"/>
    <sheet name="UCP акторы" sheetId="12" state="visible" r:id="rId14"/>
    <sheet name="UCP факторы" sheetId="13" state="visible" r:id="rId15"/>
    <sheet name="Итоги" sheetId="14" state="visible" r:id="rId16"/>
    <sheet name="PF чувствительность" sheetId="15" state="visible" r:id="rId17"/>
    <sheet name="Источники" sheetId="16" state="visible" r:id="rId18"/>
  </sheets>
  <definedNames>
    <definedName function="false" hidden="false" localSheetId="15" name="_xlnm.Print_Titles" vbProcedure="false">Источники!$1:$1</definedName>
    <definedName function="false" hidden="true" localSheetId="15" name="_xlnm._FilterDatabase" vbProcedure="false">Источники!$A$1:$D$16</definedName>
    <definedName function="false" hidden="false" localSheetId="13" name="_xlnm.Print_Titles" vbProcedure="false">Итоги!$1:$1</definedName>
    <definedName function="false" hidden="true" localSheetId="13" name="_xlnm._FilterDatabase" vbProcedure="false">Итоги!$A$1:$B$32</definedName>
    <definedName function="false" hidden="false" localSheetId="4" name="_xlnm.Print_Titles" vbProcedure="false">Команда!$1:$1</definedName>
    <definedName function="false" hidden="true" localSheetId="4" name="_xlnm._FilterDatabase" vbProcedure="false">Команда!$A$1:$F$9</definedName>
    <definedName function="false" hidden="false" localSheetId="0" name="_xlnm.Print_Titles" vbProcedure="false">Пояснения!$1:$1</definedName>
    <definedName function="false" hidden="true" localSheetId="0" name="_xlnm._FilterDatabase" vbProcedure="false">Пояснения!$A$1:$B$15</definedName>
    <definedName function="false" hidden="false" localSheetId="2" name="_xlnm.Print_Titles" vbProcedure="false">Работы!$1:$1</definedName>
    <definedName function="false" hidden="true" localSheetId="2" name="_xlnm._FilterDatabase" vbProcedure="false">Работы!$A$1:$K$33</definedName>
    <definedName function="false" hidden="false" localSheetId="5" name="_xlnm.Print_Titles" vbProcedure="false">Расписание!$1:$1</definedName>
    <definedName function="false" hidden="true" localSheetId="5" name="_xlnm._FilterDatabase" vbProcedure="false">Расписание!$A$1:$G$33</definedName>
    <definedName function="false" hidden="false" localSheetId="1" name="_xlnm.Print_Titles" vbProcedure="false">Требования!$1:$1</definedName>
    <definedName function="false" hidden="true" localSheetId="1" name="_xlnm._FilterDatabase" vbProcedure="false">Требования!$A$1:$E$25</definedName>
    <definedName function="false" hidden="false" localSheetId="9" name="_xlnm.Print_Titles" vbProcedure="false">'COCOMO факторы'!$1:$1</definedName>
    <definedName function="false" hidden="true" localSheetId="9" name="_xlnm._FilterDatabase" vbProcedure="false">'COCOMO факторы'!$A$1:$D$13</definedName>
    <definedName function="false" hidden="false" localSheetId="3" name="_xlnm.Print_Titles" vbProcedure="false">CPM!$1:$1</definedName>
    <definedName function="false" hidden="true" localSheetId="3" name="_xlnm._FilterDatabase" vbProcedure="false">CPM!$A$1:$I$33</definedName>
    <definedName function="false" hidden="false" localSheetId="6" name="_xlnm.Print_Titles" vbProcedure="false">'FP данные'!$1:$1</definedName>
    <definedName function="false" hidden="true" localSheetId="6" name="_xlnm._FilterDatabase" vbProcedure="false">'FP данные'!$A$1:$H$15</definedName>
    <definedName function="false" hidden="false" localSheetId="7" name="_xlnm.Print_Titles" vbProcedure="false">'FP транзакции'!$1:$1</definedName>
    <definedName function="false" hidden="true" localSheetId="7" name="_xlnm._FilterDatabase" vbProcedure="false">'FP транзакции'!$A$1:$I$61</definedName>
    <definedName function="false" hidden="false" localSheetId="14" name="_xlnm.Print_Titles" vbProcedure="false">'PF чувствительность'!$1:$1</definedName>
    <definedName function="false" hidden="true" localSheetId="14" name="_xlnm._FilterDatabase" vbProcedure="false">'PF чувствительность'!$A$1:$C$4</definedName>
    <definedName function="false" hidden="false" localSheetId="11" name="_xlnm.Print_Titles" vbProcedure="false">'UCP акторы'!$1:$1</definedName>
    <definedName function="false" hidden="true" localSheetId="11" name="_xlnm._FilterDatabase" vbProcedure="false">'UCP акторы'!$A$1:$C$9</definedName>
    <definedName function="false" hidden="false" localSheetId="10" name="_xlnm.Print_Titles" vbProcedure="false">'UCP прецеденты'!$1:$1</definedName>
    <definedName function="false" hidden="true" localSheetId="10" name="_xlnm._FilterDatabase" vbProcedure="false">'UCP прецеденты'!$A$1:$G$26</definedName>
    <definedName function="false" hidden="false" localSheetId="12" name="_xlnm.Print_Titles" vbProcedure="false">'UCP факторы'!$1:$1</definedName>
    <definedName function="false" hidden="true" localSheetId="12" name="_xlnm._FilterDatabase" vbProcedure="false">'UCP факторы'!$A$1:$F$22</definedName>
    <definedName function="false" hidden="false" localSheetId="8" name="_xlnm.Print_Titles" vbProcedure="false">VAF!$1:$1</definedName>
    <definedName function="false" hidden="true" localSheetId="8" name="_xlnm._FilterDatabase" vbProcedure="false">VAF!$A$1:$B$15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<sst xmlns="http://schemas.openxmlformats.org/spreadsheetml/2006/main" count="1227" uniqueCount="787">
  <si>
    <t xml:space="preserve">Параметр</t>
  </si>
  <si>
    <t xml:space="preserve">Значение</t>
  </si>
  <si>
    <t xml:space="preserve">Вариант</t>
  </si>
  <si>
    <t xml:space="preserve">Stepik.org; учебная оценка разработки аналога в оговорённых границах</t>
  </si>
  <si>
    <t xml:space="preserve">Авторы</t>
  </si>
  <si>
    <t xml:space="preserve">Трикашный Михаил Дмитриевич; Амузинский Артем Андреевич; P3406</t>
  </si>
  <si>
    <t xml:space="preserve">Дата</t>
  </si>
  <si>
    <t xml:space="preserve">14.09.2026</t>
  </si>
  <si>
    <t xml:space="preserve">Единицы</t>
  </si>
  <si>
    <t xml:space="preserve">O/M/P/TE — чел·ч. CPM — рабочие часы при одном исполнителе на работу. Неделя = 40 часов.</t>
  </si>
  <si>
    <t xml:space="preserve">Границы</t>
  </si>
  <si>
    <t xml:space="preserve">Веб-версия, 24 FR; внешние готовые платёжный, grader, email и media API.</t>
  </si>
  <si>
    <t xml:space="preserve">Происхождение оценок</t>
  </si>
  <si>
    <t xml:space="preserve">Экспертные учебные допущения, не трудозатраты реальной команды Stepik.</t>
  </si>
  <si>
    <t xml:space="preserve">Методы</t>
  </si>
  <si>
    <t xml:space="preserve">Наивный = сумма M; PERT = сумма TE; критический путь не является трудоёмкостью.</t>
  </si>
  <si>
    <t xml:space="preserve">Ресурсный план</t>
  </si>
  <si>
    <t xml:space="preserve">Эвристика приоритета по длине оставшегося пути; 1 исполнитель на задачу, без прерывания.</t>
  </si>
  <si>
    <t xml:space="preserve">Рекомендуемая команда</t>
  </si>
  <si>
    <t xml:space="preserve">Критерий</t>
  </si>
  <si>
    <t xml:space="preserve">Наименьшая из построенных команд 1–8 со сроком не более 110% CPM. Глобальный оптимум не доказывается.</t>
  </si>
  <si>
    <t xml:space="preserve">Функциональные точки</t>
  </si>
  <si>
    <t xml:space="preserve">DET/RET/FTR — предварительная оценка. EIF=0: внешние API не считаются файлами автоматически.</t>
  </si>
  <si>
    <t xml:space="preserve">COCOMO II</t>
  </si>
  <si>
    <t xml:space="preserve">Early Design 2000; в SLOC переводится UFP, не AFP. JavaScript: 47 SLOC/FP.</t>
  </si>
  <si>
    <t xml:space="preserve">UCP / PF</t>
  </si>
  <si>
    <t xml:space="preserve">Завершённого проекта с известными часами у авторов нет. PF=10/20/30 — сценарии, не калибровка.</t>
  </si>
  <si>
    <t xml:space="preserve">Пересчёт</t>
  </si>
  <si>
    <t xml:space="preserve">При изменении входных данных в data.py запустить build.py; Excel пересчитывает формулы, диаграммы и ресурсный план пересоздаются скриптом.</t>
  </si>
  <si>
    <t xml:space="preserve">ID</t>
  </si>
  <si>
    <t xml:space="preserve">Блок</t>
  </si>
  <si>
    <t xml:space="preserve">Функция</t>
  </si>
  <si>
    <t xml:space="preserve">Критерий приёмки</t>
  </si>
  <si>
    <t xml:space="preserve">Источник / допущение</t>
  </si>
  <si>
    <t xml:space="preserve">FR01</t>
  </si>
  <si>
    <t xml:space="preserve">Аккаунт</t>
  </si>
  <si>
    <t xml:space="preserve">Регистрация и подтверждение email</t>
  </si>
  <si>
    <t xml:space="preserve">Новый адрес создаёт аккаунт; повторный адрес отклоняется; ссылка подтверждает адрес однократно.</t>
  </si>
  <si>
    <t xml:space="preserve">S4; П: детали проверки</t>
  </si>
  <si>
    <t xml:space="preserve">FR02</t>
  </si>
  <si>
    <t xml:space="preserve">Вход, выход и восстановление пароля</t>
  </si>
  <si>
    <t xml:space="preserve">Верные данные открывают сессию; выход закрывает её; использованный токен сброса повторно не действует.</t>
  </si>
  <si>
    <t xml:space="preserve">S4; П: сценарии безопасности</t>
  </si>
  <si>
    <t xml:space="preserve">FR03</t>
  </si>
  <si>
    <t xml:space="preserve">Профиль и настройки уведомлений</t>
  </si>
  <si>
    <t xml:space="preserve">Учащийся сохраняет имя и предпочтения; другой пользователь не может их изменить.</t>
  </si>
  <si>
    <t xml:space="preserve">S8; П: поля профиля</t>
  </si>
  <si>
    <t xml:space="preserve">FR04</t>
  </si>
  <si>
    <t xml:space="preserve">Каталог</t>
  </si>
  <si>
    <t xml:space="preserve">Каталог, категории, поиск и фильтры</t>
  </si>
  <si>
    <t xml:space="preserve">По запросу и выбранным категории, языку и платности возвращаются подходящие опубликованные курсы.</t>
  </si>
  <si>
    <t xml:space="preserve">S1, S2, S10; П: набор фильтров</t>
  </si>
  <si>
    <t xml:space="preserve">FR05</t>
  </si>
  <si>
    <t xml:space="preserve">Карточка курса</t>
  </si>
  <si>
    <t xml:space="preserve">Посетитель видит описание, автора, программу, цену и условия сертификата до записи.</t>
  </si>
  <si>
    <t xml:space="preserve">S3, S6, S7; П: состав карточки</t>
  </si>
  <si>
    <t xml:space="preserve">FR06</t>
  </si>
  <si>
    <t xml:space="preserve">Обучение</t>
  </si>
  <si>
    <t xml:space="preserve">Запись и список моих курсов</t>
  </si>
  <si>
    <t xml:space="preserve">Запись на бесплатный курс создаёт один доступ; повторный запрос не дублирует его; курс появляется в кабинете.</t>
  </si>
  <si>
    <t xml:space="preserve">S2, S6; П: идемпотентность</t>
  </si>
  <si>
    <t xml:space="preserve">FR07</t>
  </si>
  <si>
    <t xml:space="preserve">Просмотр текстовых и видеошагов</t>
  </si>
  <si>
    <t xml:space="preserve">Зачисленный учащийся открывает доступный шаг, просматривает материал и возвращается к последней позиции.</t>
  </si>
  <si>
    <t xml:space="preserve">S3; П: сохранение позиции</t>
  </si>
  <si>
    <t xml:space="preserve">FR08</t>
  </si>
  <si>
    <t xml:space="preserve">Решение тестовых задач</t>
  </si>
  <si>
    <t xml:space="preserve">Выбор варианта, число и строка проверяются по правилам автора; сохраняются ответ и результат попытки.</t>
  </si>
  <si>
    <t xml:space="preserve">S5; П: три типа в границах</t>
  </si>
  <si>
    <t xml:space="preserve">FR09</t>
  </si>
  <si>
    <t xml:space="preserve">Решение задач на программирование</t>
  </si>
  <si>
    <t xml:space="preserve">Код отправляется на проверку; учащийся получает статус, итог тестов и диагностическое сообщение; скрытые тесты не раскрываются.</t>
  </si>
  <si>
    <t xml:space="preserve">S5; П: интеграция с готовым grader</t>
  </si>
  <si>
    <t xml:space="preserve">FR10</t>
  </si>
  <si>
    <t xml:space="preserve">Прогресс и баллы</t>
  </si>
  <si>
    <t xml:space="preserve">Принятый результат обновляет баллы и долю пройденных шагов; повторный callback не удваивает баллы.</t>
  </si>
  <si>
    <t xml:space="preserve">S3, S9; П: правило повторов</t>
  </si>
  <si>
    <t xml:space="preserve">FR11</t>
  </si>
  <si>
    <t xml:space="preserve">Сертификат</t>
  </si>
  <si>
    <t xml:space="preserve">При включённом сертификате и достижении порога формируется документ с именем, курсом, баллами и проверочной ссылкой.</t>
  </si>
  <si>
    <t xml:space="preserve">S7; П: формат документа</t>
  </si>
  <si>
    <t xml:space="preserve">FR12</t>
  </si>
  <si>
    <t xml:space="preserve">Общение</t>
  </si>
  <si>
    <t xml:space="preserve">Комментарии и ответы</t>
  </si>
  <si>
    <t xml:space="preserve">Участник оставляет комментарий к шагу, отвечает и удаляет собственный; преподаватель может модерировать обсуждение.</t>
  </si>
  <si>
    <t xml:space="preserve">S8, S11</t>
  </si>
  <si>
    <t xml:space="preserve">FR13</t>
  </si>
  <si>
    <t xml:space="preserve">Отзывы о курсе</t>
  </si>
  <si>
    <t xml:space="preserve">Зачисленный пользователь публикует оценку и текст; одна актуальная оценка на пользователя учитывается в среднем рейтинге.</t>
  </si>
  <si>
    <t xml:space="preserve">S11; П: правила агрегации</t>
  </si>
  <si>
    <t xml:space="preserve">FR14</t>
  </si>
  <si>
    <t xml:space="preserve">Новости и уведомления</t>
  </si>
  <si>
    <t xml:space="preserve">Автор публикует новость; учащийся видит уведомление и может прочитать его; email учитывает настройки профиля.</t>
  </si>
  <si>
    <t xml:space="preserve">S8; П: доставка через email API</t>
  </si>
  <si>
    <t xml:space="preserve">FR15</t>
  </si>
  <si>
    <t xml:space="preserve">Преподавание</t>
  </si>
  <si>
    <t xml:space="preserve">Создание и редактирование курса</t>
  </si>
  <si>
    <t xml:space="preserve">Автор создаёт черновик, меняет описание и категорию, выбирает публичный или приватный доступ, публикует заполненный курс.</t>
  </si>
  <si>
    <t xml:space="preserve">S4, S10; П: валидация публикации</t>
  </si>
  <si>
    <t xml:space="preserve">FR16</t>
  </si>
  <si>
    <t xml:space="preserve">Структура и материалы курса</t>
  </si>
  <si>
    <t xml:space="preserve">Автор добавляет, редактирует, упорядочивает и удаляет модули, уроки, текстовые и видеошаги с проверкой зависимостей.</t>
  </si>
  <si>
    <t xml:space="preserve">S3, S4; П: запрет удаления использованного шага</t>
  </si>
  <si>
    <t xml:space="preserve">FR17</t>
  </si>
  <si>
    <t xml:space="preserve">Настройка практических задач</t>
  </si>
  <si>
    <t xml:space="preserve">Автор сохраняет условие, эталон, баллы; для кода задаёт язык, лимиты и тесты, затем запускает пробную проверку.</t>
  </si>
  <si>
    <t xml:space="preserve">S5; П: готовый grader, один язык Python</t>
  </si>
  <si>
    <t xml:space="preserve">FR18</t>
  </si>
  <si>
    <t xml:space="preserve">Проверка свободного ответа</t>
  </si>
  <si>
    <t xml:space="preserve">Преподаватель открывает ответ, назначает баллы и обратную связь; учащийся видит результат.</t>
  </si>
  <si>
    <t xml:space="preserve">S5; П: только преподаватель, без peer review</t>
  </si>
  <si>
    <t xml:space="preserve">FR19</t>
  </si>
  <si>
    <t xml:space="preserve">Команда курса и доступ</t>
  </si>
  <si>
    <t xml:space="preserve">Владелец назначает соавтора, снимает роль, выдаёт и отзывает доступ к приватному курсу.</t>
  </si>
  <si>
    <t xml:space="preserve">S4; П: упрощённые роли</t>
  </si>
  <si>
    <t xml:space="preserve">FR20</t>
  </si>
  <si>
    <t xml:space="preserve">Статистика и экспорт результатов</t>
  </si>
  <si>
    <t xml:space="preserve">Преподаватель получает таблицу прогресса и баллов своих учащихся и выгружает CSV; чужой курс недоступен.</t>
  </si>
  <si>
    <t xml:space="preserve">S9; П: формат CSV</t>
  </si>
  <si>
    <t xml:space="preserve">FR21</t>
  </si>
  <si>
    <t xml:space="preserve">Монетизация</t>
  </si>
  <si>
    <t xml:space="preserve">Покупка доступа</t>
  </si>
  <si>
    <t xml:space="preserve">Создаётся заказ и переход к провайдеру; только подтверждённый серверный статус выдаёт доступ; неуспех сохраняет заказ неоплаченным.</t>
  </si>
  <si>
    <t xml:space="preserve">S6; П: единый провайдер, callback</t>
  </si>
  <si>
    <t xml:space="preserve">FR22</t>
  </si>
  <si>
    <t xml:space="preserve">Цена и промокоды</t>
  </si>
  <si>
    <t xml:space="preserve">Автор меняет цену и создаёт промокод со сроком и лимитом; допустимый код снижает стоимость заказа.</t>
  </si>
  <si>
    <t xml:space="preserve">S6; П: ограничения промокодов</t>
  </si>
  <si>
    <t xml:space="preserve">FR23</t>
  </si>
  <si>
    <t xml:space="preserve">Администрирование</t>
  </si>
  <si>
    <t xml:space="preserve">Модерация и ограничения</t>
  </si>
  <si>
    <t xml:space="preserve">Модератор скрывает нарушающий правила материал и ограничивает общение пользователя; действие записывается в журнал.</t>
  </si>
  <si>
    <t xml:space="preserve">S11; П: журнал действий</t>
  </si>
  <si>
    <t xml:space="preserve">FR24</t>
  </si>
  <si>
    <t xml:space="preserve">Управление справочником категорий</t>
  </si>
  <si>
    <t xml:space="preserve">Администратор создаёт, переименовывает и архивирует категорию; архивная категория недоступна для нового назначения.</t>
  </si>
  <si>
    <t xml:space="preserve">S10; П: административный интерфейс</t>
  </si>
  <si>
    <t xml:space="preserve">Работа</t>
  </si>
  <si>
    <t xml:space="preserve">Результат</t>
  </si>
  <si>
    <t xml:space="preserve">FR</t>
  </si>
  <si>
    <t xml:space="preserve">Предшественники</t>
  </si>
  <si>
    <t xml:space="preserve">O, ч</t>
  </si>
  <si>
    <t xml:space="preserve">M, ч</t>
  </si>
  <si>
    <t xml:space="preserve">P, ч</t>
  </si>
  <si>
    <t xml:space="preserve">TE, ч</t>
  </si>
  <si>
    <t xml:space="preserve">σ, ч</t>
  </si>
  <si>
    <t xml:space="preserve">Дисперсия, ч²</t>
  </si>
  <si>
    <t xml:space="preserve">A01</t>
  </si>
  <si>
    <t xml:space="preserve">Сбор и анализ требований</t>
  </si>
  <si>
    <t xml:space="preserve">Границы продукта, роли, критерии приёмки и приоритеты.</t>
  </si>
  <si>
    <t xml:space="preserve">все</t>
  </si>
  <si>
    <t xml:space="preserve">A02</t>
  </si>
  <si>
    <t xml:space="preserve">Архитектура и модель данных</t>
  </si>
  <si>
    <t xml:space="preserve">Контракты API, схема БД, границы внешних сервисов, оценка рисков.</t>
  </si>
  <si>
    <t xml:space="preserve">A03</t>
  </si>
  <si>
    <t xml:space="preserve">Прототипы и дизайн</t>
  </si>
  <si>
    <t xml:space="preserve">Экраны учащегося, автора и модератора; состояния ошибок, мобильные макеты.</t>
  </si>
  <si>
    <t xml:space="preserve">A04</t>
  </si>
  <si>
    <t xml:space="preserve">Каркас приложения и CI</t>
  </si>
  <si>
    <t xml:space="preserve">Окружение, миграции, сборка, автоматический запуск проверок.</t>
  </si>
  <si>
    <t xml:space="preserve">A05</t>
  </si>
  <si>
    <t xml:space="preserve">Аккаунты и роли</t>
  </si>
  <si>
    <t xml:space="preserve">Email-регистрация, сессии, восстановление и проверка ролей.</t>
  </si>
  <si>
    <t xml:space="preserve">FR01 FR02 FR19</t>
  </si>
  <si>
    <t xml:space="preserve">A06</t>
  </si>
  <si>
    <t xml:space="preserve">Профиль и настройки</t>
  </si>
  <si>
    <t xml:space="preserve">Формы профиля и предпочтений уведомлений.</t>
  </si>
  <si>
    <t xml:space="preserve">A05, A03</t>
  </si>
  <si>
    <t xml:space="preserve">A07</t>
  </si>
  <si>
    <t xml:space="preserve">Редактор курса и категории</t>
  </si>
  <si>
    <t xml:space="preserve">Черновик и публикация, категории, описание, управление справочником.</t>
  </si>
  <si>
    <t xml:space="preserve">FR15 FR24</t>
  </si>
  <si>
    <t xml:space="preserve">A08</t>
  </si>
  <si>
    <t xml:space="preserve">Редактор структуры и материалов</t>
  </si>
  <si>
    <t xml:space="preserve">Модули, уроки, шаги, загрузка медиа через объектное хранилище.</t>
  </si>
  <si>
    <t xml:space="preserve">A09</t>
  </si>
  <si>
    <t xml:space="preserve">Редактор тестовых заданий</t>
  </si>
  <si>
    <t xml:space="preserve">Выбор, число, строка; правила проверки и баллы.</t>
  </si>
  <si>
    <t xml:space="preserve">A10</t>
  </si>
  <si>
    <t xml:space="preserve">Интеграция проверки кода</t>
  </si>
  <si>
    <t xml:space="preserve">API готового изолированного grader, очередь, лимиты, пробный запуск и callback.</t>
  </si>
  <si>
    <t xml:space="preserve">FR09 FR17</t>
  </si>
  <si>
    <t xml:space="preserve">A11</t>
  </si>
  <si>
    <t xml:space="preserve">Каталог и поиск</t>
  </si>
  <si>
    <t xml:space="preserve">Поиск, фильтры, категории, пагинация.</t>
  </si>
  <si>
    <t xml:space="preserve">A07, A03</t>
  </si>
  <si>
    <t xml:space="preserve">A12</t>
  </si>
  <si>
    <t xml:space="preserve">Описание, программа, преподаватели, цена, сертификат.</t>
  </si>
  <si>
    <t xml:space="preserve">A08, A11</t>
  </si>
  <si>
    <t xml:space="preserve">A13</t>
  </si>
  <si>
    <t xml:space="preserve">Запись и кабинет учащегося</t>
  </si>
  <si>
    <t xml:space="preserve">Запись, список курсов, выдача и отзыв приватного доступа.</t>
  </si>
  <si>
    <t xml:space="preserve">FR06 FR19</t>
  </si>
  <si>
    <t xml:space="preserve">A05, A07, A03</t>
  </si>
  <si>
    <t xml:space="preserve">A14</t>
  </si>
  <si>
    <t xml:space="preserve">Проигрыватель учебных шагов</t>
  </si>
  <si>
    <t xml:space="preserve">Навигация, видео и текст, позиция последнего шага.</t>
  </si>
  <si>
    <t xml:space="preserve">A08, A13</t>
  </si>
  <si>
    <t xml:space="preserve">A15</t>
  </si>
  <si>
    <t xml:space="preserve">Приём и проверка тестовых ответов</t>
  </si>
  <si>
    <t xml:space="preserve">Попытки, результаты и сообщения проверки.</t>
  </si>
  <si>
    <t xml:space="preserve">A09, A14</t>
  </si>
  <si>
    <t xml:space="preserve">A16</t>
  </si>
  <si>
    <t xml:space="preserve">Интерфейс решения задач на код</t>
  </si>
  <si>
    <t xml:space="preserve">Редактор кода, отправка, ожидание и вывод результата.</t>
  </si>
  <si>
    <t xml:space="preserve">A10, A14</t>
  </si>
  <si>
    <t xml:space="preserve">A17</t>
  </si>
  <si>
    <t xml:space="preserve">Проверка преподавателем</t>
  </si>
  <si>
    <t xml:space="preserve">Свободный ответ, очередь работ, баллы и комментарий преподавателя.</t>
  </si>
  <si>
    <t xml:space="preserve">A18</t>
  </si>
  <si>
    <t xml:space="preserve">Прогресс и начисление баллов</t>
  </si>
  <si>
    <t xml:space="preserve">Пересчёт прогресса, защита от повторных результатов.</t>
  </si>
  <si>
    <t xml:space="preserve">A15, A16, A17</t>
  </si>
  <si>
    <t xml:space="preserve">A19</t>
  </si>
  <si>
    <t xml:space="preserve">Выдача сертификатов</t>
  </si>
  <si>
    <t xml:space="preserve">Пороги, генерация PDF и проверочная страница.</t>
  </si>
  <si>
    <t xml:space="preserve">A20</t>
  </si>
  <si>
    <t xml:space="preserve">Обсуждения шагов, ответы, удаление.</t>
  </si>
  <si>
    <t xml:space="preserve">A21</t>
  </si>
  <si>
    <t xml:space="preserve">Отзывы и рейтинг</t>
  </si>
  <si>
    <t xml:space="preserve">Форма отзыва, изменение, средний рейтинг.</t>
  </si>
  <si>
    <t xml:space="preserve">A12, A13</t>
  </si>
  <si>
    <t xml:space="preserve">A22</t>
  </si>
  <si>
    <t xml:space="preserve">Новости, внутренние уведомления и email API.</t>
  </si>
  <si>
    <t xml:space="preserve">A06, A07</t>
  </si>
  <si>
    <t xml:space="preserve">A23</t>
  </si>
  <si>
    <t xml:space="preserve">Заказы и платежи</t>
  </si>
  <si>
    <t xml:space="preserve">Создание заказа, редирект, серверное подтверждение, идемпотентность и выдача доступа.</t>
  </si>
  <si>
    <t xml:space="preserve">A24</t>
  </si>
  <si>
    <t xml:space="preserve">Цены и промокоды</t>
  </si>
  <si>
    <t xml:space="preserve">Цена, создание и применение промокодов, лимит и срок.</t>
  </si>
  <si>
    <t xml:space="preserve">A25</t>
  </si>
  <si>
    <t xml:space="preserve">Отчёты преподавателя</t>
  </si>
  <si>
    <t xml:space="preserve">Агрегация результатов по учащимся и экспорт CSV.</t>
  </si>
  <si>
    <t xml:space="preserve">A26</t>
  </si>
  <si>
    <t xml:space="preserve">Модерация и аудит</t>
  </si>
  <si>
    <t xml:space="preserve">Скрытие контента, ограничение общения, журнал решений.</t>
  </si>
  <si>
    <t xml:space="preserve">A20, A21, A07</t>
  </si>
  <si>
    <t xml:space="preserve">A27</t>
  </si>
  <si>
    <t xml:space="preserve">Проверка адаптивности и доступности</t>
  </si>
  <si>
    <t xml:space="preserve">Клавиатура, контраст, мобильные экраны и браузеры; устранение дефектов.</t>
  </si>
  <si>
    <t xml:space="preserve">A19, A22, A24, A25, A26</t>
  </si>
  <si>
    <t xml:space="preserve">A28</t>
  </si>
  <si>
    <t xml:space="preserve">Безопасность интеграций</t>
  </si>
  <si>
    <t xml:space="preserve">Проверка прав, подписей callback, утечек секретов и границ grader; исправления.</t>
  </si>
  <si>
    <t xml:space="preserve">A10, A23, A26</t>
  </si>
  <si>
    <t xml:space="preserve">A29</t>
  </si>
  <si>
    <t xml:space="preserve">Интеграционные и сквозные проверки</t>
  </si>
  <si>
    <t xml:space="preserve">Путь автора и учащегося, отказ платежа и grader; исправления регрессий.</t>
  </si>
  <si>
    <t xml:space="preserve">A27, A28</t>
  </si>
  <si>
    <t xml:space="preserve">A30</t>
  </si>
  <si>
    <t xml:space="preserve">Нагрузка и оптимизация</t>
  </si>
  <si>
    <t xml:space="preserve">Проверка согласованного профиля нагрузки, индексов и очередей.</t>
  </si>
  <si>
    <t xml:space="preserve">A31</t>
  </si>
  <si>
    <t xml:space="preserve">Документация и эксплуатационные инструкции</t>
  </si>
  <si>
    <t xml:space="preserve">Руководства пользователя и оператора, резервное копирование и восстановление.</t>
  </si>
  <si>
    <t xml:space="preserve">A25, A26, A24</t>
  </si>
  <si>
    <t xml:space="preserve">A32</t>
  </si>
  <si>
    <t xml:space="preserve">Приёмка и выпуск</t>
  </si>
  <si>
    <t xml:space="preserve">Приёмочные сценарии, развёртывание, smoke-проверка, передача продукта.</t>
  </si>
  <si>
    <t xml:space="preserve">A30, A31</t>
  </si>
  <si>
    <t xml:space="preserve">ИТОГО</t>
  </si>
  <si>
    <t xml:space="preserve">TE</t>
  </si>
  <si>
    <t xml:space="preserve">ES</t>
  </si>
  <si>
    <t xml:space="preserve">EF</t>
  </si>
  <si>
    <t xml:space="preserve">LS</t>
  </si>
  <si>
    <t xml:space="preserve">LF</t>
  </si>
  <si>
    <t xml:space="preserve">Резерв</t>
  </si>
  <si>
    <t xml:space="preserve">Критическая</t>
  </si>
  <si>
    <t xml:space="preserve">Исполнителей</t>
  </si>
  <si>
    <t xml:space="preserve">Нижняя граница, ч</t>
  </si>
  <si>
    <t xml:space="preserve">Расписание, ч</t>
  </si>
  <si>
    <t xml:space="preserve">Рабочих недель</t>
  </si>
  <si>
    <t xml:space="preserve">Загрузка</t>
  </si>
  <si>
    <t xml:space="preserve">Отклонение от CPM</t>
  </si>
  <si>
    <t xml:space="preserve">Исполнитель</t>
  </si>
  <si>
    <t xml:space="preserve">Старт, ч</t>
  </si>
  <si>
    <t xml:space="preserve">Финиш, ч</t>
  </si>
  <si>
    <t xml:space="preserve">Старт, неделя</t>
  </si>
  <si>
    <t xml:space="preserve">Финиш, неделя</t>
  </si>
  <si>
    <t xml:space="preserve">Логическая группа</t>
  </si>
  <si>
    <t xml:space="preserve">Тип</t>
  </si>
  <si>
    <t xml:space="preserve">RET</t>
  </si>
  <si>
    <t xml:space="preserve">DET</t>
  </si>
  <si>
    <t xml:space="preserve">Сложность</t>
  </si>
  <si>
    <t xml:space="preserve">FP</t>
  </si>
  <si>
    <t xml:space="preserve">Состав</t>
  </si>
  <si>
    <t xml:space="preserve">D01</t>
  </si>
  <si>
    <t xml:space="preserve">Пользователи</t>
  </si>
  <si>
    <t xml:space="preserve">ILF</t>
  </si>
  <si>
    <t xml:space="preserve">Профиль, настройки и роли: имя, email, статус, предпочтения и др.</t>
  </si>
  <si>
    <t xml:space="preserve">D02</t>
  </si>
  <si>
    <t xml:space="preserve">Курсы</t>
  </si>
  <si>
    <t xml:space="preserve">Описание, программа верхнего уровня, настройки доступа/сертификата/цены.</t>
  </si>
  <si>
    <t xml:space="preserve">D03</t>
  </si>
  <si>
    <t xml:space="preserve">Учебные материалы</t>
  </si>
  <si>
    <t xml:space="preserve">Модули, уроки и шаги: порядок, заголовок, тип, текст и ссылка на медиа.</t>
  </si>
  <si>
    <t xml:space="preserve">D04</t>
  </si>
  <si>
    <t xml:space="preserve">Задания</t>
  </si>
  <si>
    <t xml:space="preserve">Условия, варианты/эталоны и параметры программных тестов.</t>
  </si>
  <si>
    <t xml:space="preserve">D05</t>
  </si>
  <si>
    <t xml:space="preserve">Записи на курсы</t>
  </si>
  <si>
    <t xml:space="preserve">Учащийся, курс, источник доступа, статус, даты, последняя позиция.</t>
  </si>
  <si>
    <t xml:space="preserve">D06</t>
  </si>
  <si>
    <t xml:space="preserve">Попытки и результаты</t>
  </si>
  <si>
    <t xml:space="preserve">Ответ, код, статус, обратная связь, баллы; прогресс вычисляется из результатов.</t>
  </si>
  <si>
    <t xml:space="preserve">D07</t>
  </si>
  <si>
    <t xml:space="preserve">Обсуждения</t>
  </si>
  <si>
    <t xml:space="preserve">Комментарии и ответы: автор, шаг, текст, время, статус.</t>
  </si>
  <si>
    <t xml:space="preserve">D08</t>
  </si>
  <si>
    <t xml:space="preserve">Отзывы</t>
  </si>
  <si>
    <t xml:space="preserve">Автор, курс, оценка, текст, даты и статус.</t>
  </si>
  <si>
    <t xml:space="preserve">D09</t>
  </si>
  <si>
    <t xml:space="preserve">Заказы</t>
  </si>
  <si>
    <t xml:space="preserve">Заказ и состояние платежа; курс, покупатель, сумма, ключ провайдера.</t>
  </si>
  <si>
    <t xml:space="preserve">D10</t>
  </si>
  <si>
    <t xml:space="preserve">Промокоды</t>
  </si>
  <si>
    <t xml:space="preserve">Код, курс, скидка, срок, лимит, счётчик и статус.</t>
  </si>
  <si>
    <t xml:space="preserve">D11</t>
  </si>
  <si>
    <t xml:space="preserve">Сертификаты</t>
  </si>
  <si>
    <t xml:space="preserve">Идентификатор, учащийся, курс, баллы, вид, дата, ссылка.</t>
  </si>
  <si>
    <t xml:space="preserve">D12</t>
  </si>
  <si>
    <t xml:space="preserve">Авторский текст новости и уведомления адресатам, статус прочтения.</t>
  </si>
  <si>
    <t xml:space="preserve">D13</t>
  </si>
  <si>
    <t xml:space="preserve">Категории</t>
  </si>
  <si>
    <t xml:space="preserve">Идентификатор, название, родитель, порядок, статус.</t>
  </si>
  <si>
    <t xml:space="preserve">D14</t>
  </si>
  <si>
    <t xml:space="preserve">Журнал модерации</t>
  </si>
  <si>
    <t xml:space="preserve">Модератор, объект, действие, причина, время и прежний статус.</t>
  </si>
  <si>
    <t xml:space="preserve">Процесс</t>
  </si>
  <si>
    <t xml:space="preserve">FTR</t>
  </si>
  <si>
    <t xml:space="preserve">Группы данных</t>
  </si>
  <si>
    <t xml:space="preserve">F01</t>
  </si>
  <si>
    <t xml:space="preserve">Регистрация</t>
  </si>
  <si>
    <t xml:space="preserve">EI</t>
  </si>
  <si>
    <t xml:space="preserve">F02</t>
  </si>
  <si>
    <t xml:space="preserve">Подтверждение email</t>
  </si>
  <si>
    <t xml:space="preserve">F03</t>
  </si>
  <si>
    <t xml:space="preserve">Вход</t>
  </si>
  <si>
    <t xml:space="preserve">F04</t>
  </si>
  <si>
    <t xml:space="preserve">Выход</t>
  </si>
  <si>
    <t xml:space="preserve">F05</t>
  </si>
  <si>
    <t xml:space="preserve">Запрос сброса пароля</t>
  </si>
  <si>
    <t xml:space="preserve">F06</t>
  </si>
  <si>
    <t xml:space="preserve">Смена пароля по токену</t>
  </si>
  <si>
    <t xml:space="preserve">F07</t>
  </si>
  <si>
    <t xml:space="preserve">Изменение профиля и настроек</t>
  </si>
  <si>
    <t xml:space="preserve">F08</t>
  </si>
  <si>
    <t xml:space="preserve">Чтение профиля</t>
  </si>
  <si>
    <t xml:space="preserve">EQ</t>
  </si>
  <si>
    <t xml:space="preserve">F09</t>
  </si>
  <si>
    <t xml:space="preserve">Поиск и фильтрация каталога</t>
  </si>
  <si>
    <t xml:space="preserve">D02, D13</t>
  </si>
  <si>
    <t xml:space="preserve">F10</t>
  </si>
  <si>
    <t xml:space="preserve">Просмотр карточки курса</t>
  </si>
  <si>
    <t xml:space="preserve">D01, D02, D03, D13</t>
  </si>
  <si>
    <t xml:space="preserve">F11</t>
  </si>
  <si>
    <t xml:space="preserve">Запись на бесплатный курс</t>
  </si>
  <si>
    <t xml:space="preserve">D01, D02, D05</t>
  </si>
  <si>
    <t xml:space="preserve">F12</t>
  </si>
  <si>
    <t xml:space="preserve">Список моих курсов</t>
  </si>
  <si>
    <t xml:space="preserve">D02, D05</t>
  </si>
  <si>
    <t xml:space="preserve">F13</t>
  </si>
  <si>
    <t xml:space="preserve">Просмотр шага</t>
  </si>
  <si>
    <t xml:space="preserve">D03, D04, D05</t>
  </si>
  <si>
    <t xml:space="preserve">F14</t>
  </si>
  <si>
    <t xml:space="preserve">Сохранение позиции</t>
  </si>
  <si>
    <t xml:space="preserve">D03, D05</t>
  </si>
  <si>
    <t xml:space="preserve">F15</t>
  </si>
  <si>
    <t xml:space="preserve">Отправка тестового ответа</t>
  </si>
  <si>
    <t xml:space="preserve">D04, D05, D06</t>
  </si>
  <si>
    <t xml:space="preserve">F16</t>
  </si>
  <si>
    <t xml:space="preserve">Отправка кода</t>
  </si>
  <si>
    <t xml:space="preserve">F17</t>
  </si>
  <si>
    <t xml:space="preserve">Получение результата grader</t>
  </si>
  <si>
    <t xml:space="preserve">D04, D06</t>
  </si>
  <si>
    <t xml:space="preserve">F18</t>
  </si>
  <si>
    <t xml:space="preserve">Отображение результата попытки</t>
  </si>
  <si>
    <t xml:space="preserve">FR08 FR09</t>
  </si>
  <si>
    <t xml:space="preserve">F19</t>
  </si>
  <si>
    <t xml:space="preserve">Расчёт и показ прогресса</t>
  </si>
  <si>
    <t xml:space="preserve">EO</t>
  </si>
  <si>
    <t xml:space="preserve">D02, D03, D05, D06</t>
  </si>
  <si>
    <t xml:space="preserve">F20</t>
  </si>
  <si>
    <t xml:space="preserve">Формирование сертификата</t>
  </si>
  <si>
    <t xml:space="preserve">D01, D02, D06, D11</t>
  </si>
  <si>
    <t xml:space="preserve">F21</t>
  </si>
  <si>
    <t xml:space="preserve">Проверка сертификата по ссылке</t>
  </si>
  <si>
    <t xml:space="preserve">D01, D02, D11</t>
  </si>
  <si>
    <t xml:space="preserve">F22</t>
  </si>
  <si>
    <t xml:space="preserve">Публикация комментария или ответа</t>
  </si>
  <si>
    <t xml:space="preserve">D01, D03, D07</t>
  </si>
  <si>
    <t xml:space="preserve">F23</t>
  </si>
  <si>
    <t xml:space="preserve">Удаление собственного комментария</t>
  </si>
  <si>
    <t xml:space="preserve">D01, D07</t>
  </si>
  <si>
    <t xml:space="preserve">F24</t>
  </si>
  <si>
    <t xml:space="preserve">Чтение обсуждения</t>
  </si>
  <si>
    <t xml:space="preserve">F25</t>
  </si>
  <si>
    <t xml:space="preserve">Создание отзыва</t>
  </si>
  <si>
    <t xml:space="preserve">D05, D08</t>
  </si>
  <si>
    <t xml:space="preserve">F26</t>
  </si>
  <si>
    <t xml:space="preserve">Изменение отзыва</t>
  </si>
  <si>
    <t xml:space="preserve">F27</t>
  </si>
  <si>
    <t xml:space="preserve">Показ отзывов и среднего рейтинга</t>
  </si>
  <si>
    <t xml:space="preserve">D01, D08</t>
  </si>
  <si>
    <t xml:space="preserve">F28</t>
  </si>
  <si>
    <t xml:space="preserve">Публикация новости</t>
  </si>
  <si>
    <t xml:space="preserve">D01, D02, D12</t>
  </si>
  <si>
    <t xml:space="preserve">F29</t>
  </si>
  <si>
    <t xml:space="preserve">Чтение уведомлений</t>
  </si>
  <si>
    <t xml:space="preserve">F30</t>
  </si>
  <si>
    <t xml:space="preserve">Отметка уведомления прочитанным</t>
  </si>
  <si>
    <t xml:space="preserve">F31</t>
  </si>
  <si>
    <t xml:space="preserve">Создание черновика курса</t>
  </si>
  <si>
    <t xml:space="preserve">D01, D02, D13</t>
  </si>
  <si>
    <t xml:space="preserve">F32</t>
  </si>
  <si>
    <t xml:space="preserve">Редактирование описания курса</t>
  </si>
  <si>
    <t xml:space="preserve">F33</t>
  </si>
  <si>
    <t xml:space="preserve">Публикация курса</t>
  </si>
  <si>
    <t xml:space="preserve">D02, D03, D04</t>
  </si>
  <si>
    <t xml:space="preserve">F34</t>
  </si>
  <si>
    <t xml:space="preserve">Создание элемента структуры</t>
  </si>
  <si>
    <t xml:space="preserve">D02, D03</t>
  </si>
  <si>
    <t xml:space="preserve">F35</t>
  </si>
  <si>
    <t xml:space="preserve">Редактирование материала и порядка</t>
  </si>
  <si>
    <t xml:space="preserve">F36</t>
  </si>
  <si>
    <t xml:space="preserve">Удаление элемента структуры</t>
  </si>
  <si>
    <t xml:space="preserve">D03, D04, D06</t>
  </si>
  <si>
    <t xml:space="preserve">F37</t>
  </si>
  <si>
    <t xml:space="preserve">Создание тестового задания</t>
  </si>
  <si>
    <t xml:space="preserve">D03, D04</t>
  </si>
  <si>
    <t xml:space="preserve">F38</t>
  </si>
  <si>
    <t xml:space="preserve">Редактирование тестового задания</t>
  </si>
  <si>
    <t xml:space="preserve">F39</t>
  </si>
  <si>
    <t xml:space="preserve">Создание задания на код</t>
  </si>
  <si>
    <t xml:space="preserve">F40</t>
  </si>
  <si>
    <t xml:space="preserve">Редактирование задания на код</t>
  </si>
  <si>
    <t xml:space="preserve">F41</t>
  </si>
  <si>
    <t xml:space="preserve">Пробная проверка задания</t>
  </si>
  <si>
    <t xml:space="preserve">F42</t>
  </si>
  <si>
    <t xml:space="preserve">Отправка свободного ответа</t>
  </si>
  <si>
    <t xml:space="preserve">F43</t>
  </si>
  <si>
    <t xml:space="preserve">Оценка ответа преподавателем</t>
  </si>
  <si>
    <t xml:space="preserve">D01, D04, D06</t>
  </si>
  <si>
    <t xml:space="preserve">F44</t>
  </si>
  <si>
    <t xml:space="preserve">Очередь ответов на проверку</t>
  </si>
  <si>
    <t xml:space="preserve">F45</t>
  </si>
  <si>
    <t xml:space="preserve">Назначение соавтора</t>
  </si>
  <si>
    <t xml:space="preserve">D01, D02</t>
  </si>
  <si>
    <t xml:space="preserve">F46</t>
  </si>
  <si>
    <t xml:space="preserve">Снятие роли соавтора</t>
  </si>
  <si>
    <t xml:space="preserve">F47</t>
  </si>
  <si>
    <t xml:space="preserve">Выдача приватного доступа</t>
  </si>
  <si>
    <t xml:space="preserve">F48</t>
  </si>
  <si>
    <t xml:space="preserve">Отзыв приватного доступа</t>
  </si>
  <si>
    <t xml:space="preserve">F49</t>
  </si>
  <si>
    <t xml:space="preserve">Расчёт отчёта и экспорт CSV</t>
  </si>
  <si>
    <t xml:space="preserve">D01, D03, D05, D06</t>
  </si>
  <si>
    <t xml:space="preserve">F50</t>
  </si>
  <si>
    <t xml:space="preserve">Создание заказа и применение промокода</t>
  </si>
  <si>
    <t xml:space="preserve">D02, D05, D09, D10</t>
  </si>
  <si>
    <t xml:space="preserve">FR21 FR22</t>
  </si>
  <si>
    <t xml:space="preserve">F51</t>
  </si>
  <si>
    <t xml:space="preserve">Обработка статуса платежа</t>
  </si>
  <si>
    <t xml:space="preserve">D05, D09, D10</t>
  </si>
  <si>
    <t xml:space="preserve">F52</t>
  </si>
  <si>
    <t xml:space="preserve">Просмотр статуса заказа</t>
  </si>
  <si>
    <t xml:space="preserve">D02, D09</t>
  </si>
  <si>
    <t xml:space="preserve">F53</t>
  </si>
  <si>
    <t xml:space="preserve">Изменение цены</t>
  </si>
  <si>
    <t xml:space="preserve">F54</t>
  </si>
  <si>
    <t xml:space="preserve">Создание промокода</t>
  </si>
  <si>
    <t xml:space="preserve">D02, D10</t>
  </si>
  <si>
    <t xml:space="preserve">F55</t>
  </si>
  <si>
    <t xml:space="preserve">Скрытие контента модератором</t>
  </si>
  <si>
    <t xml:space="preserve">D01, D02, D07, D08, D14</t>
  </si>
  <si>
    <t xml:space="preserve">F56</t>
  </si>
  <si>
    <t xml:space="preserve">Ограничение общения пользователя</t>
  </si>
  <si>
    <t xml:space="preserve">D01, D14</t>
  </si>
  <si>
    <t xml:space="preserve">F57</t>
  </si>
  <si>
    <t xml:space="preserve">Просмотр журнала модерации</t>
  </si>
  <si>
    <t xml:space="preserve">F58</t>
  </si>
  <si>
    <t xml:space="preserve">Создание категории</t>
  </si>
  <si>
    <t xml:space="preserve">F59</t>
  </si>
  <si>
    <t xml:space="preserve">Изменение категории</t>
  </si>
  <si>
    <t xml:space="preserve">F60</t>
  </si>
  <si>
    <t xml:space="preserve">Архивация категории</t>
  </si>
  <si>
    <t xml:space="preserve">Характеристика</t>
  </si>
  <si>
    <t xml:space="preserve">DI (0–5)</t>
  </si>
  <si>
    <t xml:space="preserve">Обмен данными</t>
  </si>
  <si>
    <t xml:space="preserve">Распределённая обработка</t>
  </si>
  <si>
    <t xml:space="preserve">Производительность</t>
  </si>
  <si>
    <t xml:space="preserve">Ограничения конфигурации</t>
  </si>
  <si>
    <t xml:space="preserve">Частота транзакций</t>
  </si>
  <si>
    <t xml:space="preserve">Интерактивный ввод</t>
  </si>
  <si>
    <t xml:space="preserve">Эффективность пользователя</t>
  </si>
  <si>
    <t xml:space="preserve">Интерактивное обновление</t>
  </si>
  <si>
    <t xml:space="preserve">Сложность обработки</t>
  </si>
  <si>
    <t xml:space="preserve">Повторное использование</t>
  </si>
  <si>
    <t xml:space="preserve">Простота установки</t>
  </si>
  <si>
    <t xml:space="preserve">Удобство эксплуатации</t>
  </si>
  <si>
    <t xml:space="preserve">Несколько площадок</t>
  </si>
  <si>
    <t xml:space="preserve">Удобство изменений</t>
  </si>
  <si>
    <t xml:space="preserve">Фактор</t>
  </si>
  <si>
    <t xml:space="preserve">Уровень</t>
  </si>
  <si>
    <t xml:space="preserve">Обоснование</t>
  </si>
  <si>
    <t xml:space="preserve">PREC</t>
  </si>
  <si>
    <t xml:space="preserve">Nominal</t>
  </si>
  <si>
    <t xml:space="preserve">Типовая LMS, но нет опыта именно этого продукта.</t>
  </si>
  <si>
    <t xml:space="preserve">FLEX</t>
  </si>
  <si>
    <t xml:space="preserve">Функциональные границы согласованы, интерфейсы допускают изменения.</t>
  </si>
  <si>
    <t xml:space="preserve">RESL</t>
  </si>
  <si>
    <t xml:space="preserve">Архитектура предварительная, интеграционные риски остаются.</t>
  </si>
  <si>
    <t xml:space="preserve">TEAM</t>
  </si>
  <si>
    <t xml:space="preserve">Предполагается обычная сработанность проектной команды.</t>
  </si>
  <si>
    <t xml:space="preserve">PMAT</t>
  </si>
  <si>
    <t xml:space="preserve">Учебное допущение об обычной зрелости процесса.</t>
  </si>
  <si>
    <t xml:space="preserve">PERS</t>
  </si>
  <si>
    <t xml:space="preserve">Нет подтверждённых данных о производительности команды.</t>
  </si>
  <si>
    <t xml:space="preserve">RCPX</t>
  </si>
  <si>
    <t xml:space="preserve">High</t>
  </si>
  <si>
    <t xml:space="preserve">Платежи, оценивание и асинхронная проверка повышают сложность.</t>
  </si>
  <si>
    <t xml:space="preserve">PDIF</t>
  </si>
  <si>
    <t xml:space="preserve">Нет жёстких аппаратных ограничений.</t>
  </si>
  <si>
    <t xml:space="preserve">PREX</t>
  </si>
  <si>
    <t xml:space="preserve">Средний опыт стека и предметной области — допущение.</t>
  </si>
  <si>
    <t xml:space="preserve">FCIL</t>
  </si>
  <si>
    <t xml:space="preserve">Готовые CI, средства тестирования и совместной работы.</t>
  </si>
  <si>
    <t xml:space="preserve">RUSE</t>
  </si>
  <si>
    <t xml:space="preserve">Повторное использование в рамках проекта.</t>
  </si>
  <si>
    <t xml:space="preserve">SCED</t>
  </si>
  <si>
    <t xml:space="preserve">Срок искусственно не сжимается.</t>
  </si>
  <si>
    <t xml:space="preserve">Прецедент</t>
  </si>
  <si>
    <t xml:space="preserve">Акторы</t>
  </si>
  <si>
    <t xml:space="preserve">Транзакции сценария</t>
  </si>
  <si>
    <t xml:space="preserve">Количество</t>
  </si>
  <si>
    <t xml:space="preserve">Вес</t>
  </si>
  <si>
    <t xml:space="preserve">UC01</t>
  </si>
  <si>
    <t xml:space="preserve">Гость</t>
  </si>
  <si>
    <t xml:space="preserve">1. Ввод регистрационных данных; 2. Проверка и создание аккаунта; 3. Подтверждение адреса; 4. Активация аккаунта</t>
  </si>
  <si>
    <t xml:space="preserve">UC02</t>
  </si>
  <si>
    <t xml:space="preserve">Вход и завершение сессии</t>
  </si>
  <si>
    <t xml:space="preserve">1. Передача учётных данных; 2. Проверка и создание сессии; 3. Завершение сессии</t>
  </si>
  <si>
    <t xml:space="preserve">UC03</t>
  </si>
  <si>
    <t xml:space="preserve">Восстановление доступа</t>
  </si>
  <si>
    <t xml:space="preserve">1. Запрос восстановления; 2. Выдача ссылки; 3. Передача нового пароля; 4. Проверка токена и смена пароля</t>
  </si>
  <si>
    <t xml:space="preserve">UC04</t>
  </si>
  <si>
    <t xml:space="preserve">Настройка профиля</t>
  </si>
  <si>
    <t xml:space="preserve">Учащийся</t>
  </si>
  <si>
    <t xml:space="preserve">1. Получение профиля; 2. Передача изменений; 3. Валидация и сохранение</t>
  </si>
  <si>
    <t xml:space="preserve">UC05</t>
  </si>
  <si>
    <t xml:space="preserve">Поиск курса</t>
  </si>
  <si>
    <t xml:space="preserve">1. Задание запроса и фильтров; 2. Получение подходящих курсов; 3. Выбор страницы результатов</t>
  </si>
  <si>
    <t xml:space="preserve">UC06</t>
  </si>
  <si>
    <t xml:space="preserve">Изучение карточки курса</t>
  </si>
  <si>
    <t xml:space="preserve">1. Запрос карточки; 2. Получение описания и программы; 3. Получение условий доступа</t>
  </si>
  <si>
    <t xml:space="preserve">UC07</t>
  </si>
  <si>
    <t xml:space="preserve">Запись и выбор своего курса</t>
  </si>
  <si>
    <t xml:space="preserve">1. Запрос записи; 2. Проверка доступности; 3. Создание доступа; 4. Получение списка своих курсов</t>
  </si>
  <si>
    <t xml:space="preserve">UC08</t>
  </si>
  <si>
    <t xml:space="preserve">Изучение материалов</t>
  </si>
  <si>
    <t xml:space="preserve">1. Выбор урока; 2. Проверка доступа; 3. Получение шага; 4. Сохранение позиции</t>
  </si>
  <si>
    <t xml:space="preserve">UC09</t>
  </si>
  <si>
    <t xml:space="preserve">Решение тестовой задачи</t>
  </si>
  <si>
    <t xml:space="preserve">1. Получение условия; 2. Передача ответа; 3. Проверка ограничений; 4. Проверка ответа; 5. Сохранение результата; 6. Получение обратной связи</t>
  </si>
  <si>
    <t xml:space="preserve">UC10</t>
  </si>
  <si>
    <t xml:space="preserve">Решение задачи на код</t>
  </si>
  <si>
    <t xml:space="preserve">Учащийся, Grader API</t>
  </si>
  <si>
    <t xml:space="preserve">1. Получение условия; 2. Передача кода; 3. Валидация языка и доступа; 4. Постановка в очередь; 5. Передача grader; 6. Получение результата; 7. Сохранение попытки; 8. Выдача результата учащемуся</t>
  </si>
  <si>
    <t xml:space="preserve">UC11</t>
  </si>
  <si>
    <t xml:space="preserve">Просмотр прогресса</t>
  </si>
  <si>
    <t xml:space="preserve">1. Запрос прогресса; 2. Расчёт баллов и доли прохождения; 3. Получение сводки</t>
  </si>
  <si>
    <t xml:space="preserve">UC12</t>
  </si>
  <si>
    <t xml:space="preserve">Получение и проверка сертификата</t>
  </si>
  <si>
    <t xml:space="preserve">Учащийся, Гость</t>
  </si>
  <si>
    <t xml:space="preserve">1. Запрос сертификата; 2. Проверка порога; 3. Формирование документа; 4. Получение ссылки; 5. Проверка подлинности по ссылке</t>
  </si>
  <si>
    <t xml:space="preserve">UC13</t>
  </si>
  <si>
    <t xml:space="preserve">Обсуждение шага</t>
  </si>
  <si>
    <t xml:space="preserve">Учащийся, Преподаватель</t>
  </si>
  <si>
    <t xml:space="preserve">1. Чтение обсуждения; 2. Передача сообщения или ответа; 3. Проверка прав; 4. Сохранение и показ сообщения; 5. Удаление собственного сообщения</t>
  </si>
  <si>
    <t xml:space="preserve">UC14</t>
  </si>
  <si>
    <t xml:space="preserve">Отзыв о курсе</t>
  </si>
  <si>
    <t xml:space="preserve">1. Получение отзывов; 2. Передача оценки и текста; 3. Проверка записи; 4. Сохранение либо изменение отзыва; 5. Получение обновлённого рейтинга</t>
  </si>
  <si>
    <t xml:space="preserve">UC15</t>
  </si>
  <si>
    <t xml:space="preserve">Преподаватель, Учащийся, Email API</t>
  </si>
  <si>
    <t xml:space="preserve">1. Передача новости; 2. Проверка прав автора; 3. Сохранение новости; 4. Определение адресатов и настроек; 5. Отправка уведомления; 6. Чтение уведомления; 7. Отметка прочтения</t>
  </si>
  <si>
    <t xml:space="preserve">UC16</t>
  </si>
  <si>
    <t xml:space="preserve">Создание и публикация курса</t>
  </si>
  <si>
    <t xml:space="preserve">Преподаватель</t>
  </si>
  <si>
    <t xml:space="preserve">1. Создание черновика; 2. Получение формы; 3. Передача описания и категории; 4. Сохранение изменений; 5. Запрос публикации; 6. Проверка готовности; 7. Публикация</t>
  </si>
  <si>
    <t xml:space="preserve">UC17</t>
  </si>
  <si>
    <t xml:space="preserve">Редактирование структуры и материалов</t>
  </si>
  <si>
    <t xml:space="preserve">Преподаватель, Media API</t>
  </si>
  <si>
    <t xml:space="preserve">1. Получение структуры; 2. Передача нового элемента; 3. Проверка и сохранение; 4. Передача медиа; 5. Получение ссылки на материал; 6. Изменение порядка или содержимого; 7. Удаление элемента с проверкой зависимостей</t>
  </si>
  <si>
    <t xml:space="preserve">UC18</t>
  </si>
  <si>
    <t xml:space="preserve">Настройка и проверка задания</t>
  </si>
  <si>
    <t xml:space="preserve">Преподаватель, Grader API</t>
  </si>
  <si>
    <t xml:space="preserve">1. Выбор типа; 2. Передача условия; 3. Передача эталона или тестов; 4. Передача ограничений; 5. Валидация; 6. Сохранение задания; 7. Пробный запуск; 8. Получение результата проверки</t>
  </si>
  <si>
    <t xml:space="preserve">UC19</t>
  </si>
  <si>
    <t xml:space="preserve">Ручное оценивание</t>
  </si>
  <si>
    <t xml:space="preserve">1. Передача свободного ответа; 2. Сохранение в очереди; 3. Получение работы преподавателем; 4. Передача баллов и комментария; 5. Проверка полномочий; 6. Сохранение оценки; 7. Получение результата учащимся</t>
  </si>
  <si>
    <t xml:space="preserve">UC20</t>
  </si>
  <si>
    <t xml:space="preserve">Управление командой и доступом</t>
  </si>
  <si>
    <t xml:space="preserve">1. Получение списка участников; 2. Передача назначения роли или доступа; 3. Проверка владельца; 4. Сохранение назначения; 5. Отзыв роли или доступа</t>
  </si>
  <si>
    <t xml:space="preserve">UC21</t>
  </si>
  <si>
    <t xml:space="preserve">Отчётность преподавателя</t>
  </si>
  <si>
    <t xml:space="preserve">1. Запрос отчёта с параметрами; 2. Проверка доступа; 3. Агрегация результатов; 4. Получение таблицы; 5. Экспорт CSV</t>
  </si>
  <si>
    <t xml:space="preserve">UC22</t>
  </si>
  <si>
    <t xml:space="preserve">Учащийся, Платёжный API</t>
  </si>
  <si>
    <t xml:space="preserve">1. Запрос покупки; 2. Проверка курса и цены; 3. Проверка промокода; 4. Создание заказа; 5. Создание платежа у провайдера; 6. Перенаправление пользователя; 7. Получение серверного статуса; 8. Проверка подлинности и повторов; 9. Сохранение платежа и выдача доступа; 10. Показ результата</t>
  </si>
  <si>
    <t xml:space="preserve">UC23</t>
  </si>
  <si>
    <t xml:space="preserve">Установка цены и промокода</t>
  </si>
  <si>
    <t xml:space="preserve">1. Получение цены; 2. Передача новой цены; 3. Проверка и сохранение; 4. Передача параметров промокода; 5. Проверка ограничений; 6. Создание промокода</t>
  </si>
  <si>
    <t xml:space="preserve">UC24</t>
  </si>
  <si>
    <t xml:space="preserve">Модерация</t>
  </si>
  <si>
    <t xml:space="preserve">Модератор</t>
  </si>
  <si>
    <t xml:space="preserve">1. Выбор материала или пользователя; 2. Получение контекста; 3. Выбор меры и причины; 4. Проверка полномочий; 5. Скрытие контента или ограничение общения; 6. Запись в журнал; 7. Просмотр журнала</t>
  </si>
  <si>
    <t xml:space="preserve">UC25</t>
  </si>
  <si>
    <t xml:space="preserve">Управление категориями</t>
  </si>
  <si>
    <t xml:space="preserve">1. Получение справочника; 2. Передача новой категории; 3. Проверка и сохранение; 4. Изменение категории; 5. Архивация с проверкой связей</t>
  </si>
  <si>
    <t xml:space="preserve">Актор</t>
  </si>
  <si>
    <t xml:space="preserve">Интерфейс</t>
  </si>
  <si>
    <t xml:space="preserve">Человек, графический интерфейс</t>
  </si>
  <si>
    <t xml:space="preserve">Человек, графический интерфейс; включает администратора</t>
  </si>
  <si>
    <t xml:space="preserve">Платёжный API</t>
  </si>
  <si>
    <t xml:space="preserve">Внешняя система, программный API</t>
  </si>
  <si>
    <t xml:space="preserve">Grader API</t>
  </si>
  <si>
    <t xml:space="preserve">Email API</t>
  </si>
  <si>
    <t xml:space="preserve">Media API</t>
  </si>
  <si>
    <t xml:space="preserve">Внешнее объектное хранилище, программный API</t>
  </si>
  <si>
    <t xml:space="preserve">Оценка</t>
  </si>
  <si>
    <t xml:space="preserve">Произведение</t>
  </si>
  <si>
    <t xml:space="preserve">T1</t>
  </si>
  <si>
    <t xml:space="preserve">Распределённость</t>
  </si>
  <si>
    <t xml:space="preserve">Веб-приложение и внешние сервисы.</t>
  </si>
  <si>
    <t xml:space="preserve">T2</t>
  </si>
  <si>
    <t xml:space="preserve">Поиск и поток ответов.</t>
  </si>
  <si>
    <t xml:space="preserve">T3</t>
  </si>
  <si>
    <t xml:space="preserve">Длительные учебные сессии.</t>
  </si>
  <si>
    <t xml:space="preserve">T4</t>
  </si>
  <si>
    <t xml:space="preserve">Сложная обработка</t>
  </si>
  <si>
    <t xml:space="preserve">Прогресс, платежи и grader.</t>
  </si>
  <si>
    <t xml:space="preserve">T5</t>
  </si>
  <si>
    <t xml:space="preserve">Компоненты внутри системы.</t>
  </si>
  <si>
    <t xml:space="preserve">T6</t>
  </si>
  <si>
    <t xml:space="preserve">Серверный выпуск через CI.</t>
  </si>
  <si>
    <t xml:space="preserve">T7</t>
  </si>
  <si>
    <t xml:space="preserve">Простота использования</t>
  </si>
  <si>
    <t xml:space="preserve">Учащиеся без подготовки.</t>
  </si>
  <si>
    <t xml:space="preserve">T8</t>
  </si>
  <si>
    <t xml:space="preserve">Переносимость</t>
  </si>
  <si>
    <t xml:space="preserve">Поддержка основных браузеров.</t>
  </si>
  <si>
    <t xml:space="preserve">T9</t>
  </si>
  <si>
    <t xml:space="preserve">Простота изменений</t>
  </si>
  <si>
    <t xml:space="preserve">Развитие типов заданий.</t>
  </si>
  <si>
    <t xml:space="preserve">T10</t>
  </si>
  <si>
    <t xml:space="preserve">Параллельность</t>
  </si>
  <si>
    <t xml:space="preserve">Одновременные ответы и callback.</t>
  </si>
  <si>
    <t xml:space="preserve">T11</t>
  </si>
  <si>
    <t xml:space="preserve">Безопасность</t>
  </si>
  <si>
    <t xml:space="preserve">Доступ, персональные данные, оплата.</t>
  </si>
  <si>
    <t xml:space="preserve">T12</t>
  </si>
  <si>
    <t xml:space="preserve">Доступ третьих сторон</t>
  </si>
  <si>
    <t xml:space="preserve">Ограниченные callback интеграций.</t>
  </si>
  <si>
    <t xml:space="preserve">T13</t>
  </si>
  <si>
    <t xml:space="preserve">Обучение пользователей</t>
  </si>
  <si>
    <t xml:space="preserve">Краткое руководство преподавателя.</t>
  </si>
  <si>
    <t xml:space="preserve">E1</t>
  </si>
  <si>
    <t xml:space="preserve">Знакомство с процессом</t>
  </si>
  <si>
    <t xml:space="preserve">Средний опыт — допущение.</t>
  </si>
  <si>
    <t xml:space="preserve">E2</t>
  </si>
  <si>
    <t xml:space="preserve">Опыт предметной области</t>
  </si>
  <si>
    <t xml:space="preserve">Обучение знакомо как пользователям.</t>
  </si>
  <si>
    <t xml:space="preserve">E3</t>
  </si>
  <si>
    <t xml:space="preserve">Опыт объектного подхода</t>
  </si>
  <si>
    <t xml:space="preserve">E4</t>
  </si>
  <si>
    <t xml:space="preserve">Способности ведущего аналитика</t>
  </si>
  <si>
    <t xml:space="preserve">Средний уровень — допущение.</t>
  </si>
  <si>
    <t xml:space="preserve">E5</t>
  </si>
  <si>
    <t xml:space="preserve">Мотивация</t>
  </si>
  <si>
    <t xml:space="preserve">Высокая заинтересованность.</t>
  </si>
  <si>
    <t xml:space="preserve">E6</t>
  </si>
  <si>
    <t xml:space="preserve">Стабильность требований</t>
  </si>
  <si>
    <t xml:space="preserve">Ограниченный перечень функций.</t>
  </si>
  <si>
    <t xml:space="preserve">E7</t>
  </si>
  <si>
    <t xml:space="preserve">Частичная занятость</t>
  </si>
  <si>
    <t xml:space="preserve">Предполагается основная занятость команды.</t>
  </si>
  <si>
    <t xml:space="preserve">E8</t>
  </si>
  <si>
    <t xml:space="preserve">Сложность языка</t>
  </si>
  <si>
    <t xml:space="preserve">Знакомый стек, сложные интеграции.</t>
  </si>
  <si>
    <t xml:space="preserve">Показатель</t>
  </si>
  <si>
    <t xml:space="preserve">Наивная трудоёмкость, чел·ч</t>
  </si>
  <si>
    <t xml:space="preserve">PERT трудоёмкость, чел·ч</t>
  </si>
  <si>
    <t xml:space="preserve">PERT σ, чел·ч</t>
  </si>
  <si>
    <t xml:space="preserve">95% нижняя (приближение)</t>
  </si>
  <si>
    <t xml:space="preserve">95% верхняя (приближение)</t>
  </si>
  <si>
    <t xml:space="preserve">CPM, рабочие часы</t>
  </si>
  <si>
    <t xml:space="preserve">EIF</t>
  </si>
  <si>
    <t xml:space="preserve">Транзакции</t>
  </si>
  <si>
    <t xml:space="preserve">UFP</t>
  </si>
  <si>
    <t xml:space="preserve">VAF</t>
  </si>
  <si>
    <t xml:space="preserve">AFP</t>
  </si>
  <si>
    <t xml:space="preserve">SLOC / UFP</t>
  </si>
  <si>
    <t xml:space="preserve">KSLOC</t>
  </si>
  <si>
    <t xml:space="preserve">ΣSF</t>
  </si>
  <si>
    <t xml:space="preserve">E</t>
  </si>
  <si>
    <t xml:space="preserve">EAF</t>
  </si>
  <si>
    <t xml:space="preserve">COCOMO PM</t>
  </si>
  <si>
    <t xml:space="preserve">COCOMO чел·ч</t>
  </si>
  <si>
    <t xml:space="preserve">F</t>
  </si>
  <si>
    <t xml:space="preserve">TDEV, месяцев</t>
  </si>
  <si>
    <t xml:space="preserve">Средняя команда COCOMO</t>
  </si>
  <si>
    <t xml:space="preserve">UUCW</t>
  </si>
  <si>
    <t xml:space="preserve">UAW</t>
  </si>
  <si>
    <t xml:space="preserve">TF</t>
  </si>
  <si>
    <t xml:space="preserve">TCF</t>
  </si>
  <si>
    <t xml:space="preserve">ECF</t>
  </si>
  <si>
    <t xml:space="preserve">UCP</t>
  </si>
  <si>
    <t xml:space="preserve">PF — сценарий, не калибровка</t>
  </si>
  <si>
    <t xml:space="preserve">UCP трудоёмкость, сценарий</t>
  </si>
  <si>
    <t xml:space="preserve">PF, чел·ч/UCP</t>
  </si>
  <si>
    <t xml:space="preserve">Трудоёмкость, чел·ч</t>
  </si>
  <si>
    <t xml:space="preserve">Статус</t>
  </si>
  <si>
    <t xml:space="preserve">Сценарий; данных завершённого проекта нет</t>
  </si>
  <si>
    <t xml:space="preserve">Название</t>
  </si>
  <si>
    <t xml:space="preserve">URL</t>
  </si>
  <si>
    <t xml:space="preserve">Что подтверждает</t>
  </si>
  <si>
    <t xml:space="preserve">S1</t>
  </si>
  <si>
    <t xml:space="preserve">Stepik: каталог курсов</t>
  </si>
  <si>
    <t xml:space="preserve">https://stepik.org/catalog</t>
  </si>
  <si>
    <t xml:space="preserve">Веб-каталог; динамическая страница. Подробности функций проверены по справочному центру.</t>
  </si>
  <si>
    <t xml:space="preserve">S2</t>
  </si>
  <si>
    <t xml:space="preserve">С чего начать</t>
  </si>
  <si>
    <t xml:space="preserve">https://help.stepik.org/article/54712</t>
  </si>
  <si>
    <t xml:space="preserve">Каталог, поиск и начало обучения.</t>
  </si>
  <si>
    <t xml:space="preserve">S3</t>
  </si>
  <si>
    <t xml:space="preserve">Структура курса</t>
  </si>
  <si>
    <t xml:space="preserve">https://help.stepik.org/article/54734</t>
  </si>
  <si>
    <t xml:space="preserve">Модули, уроки, шаги и прогресс.</t>
  </si>
  <si>
    <t xml:space="preserve">S4</t>
  </si>
  <si>
    <t xml:space="preserve">Как создать урок и курс</t>
  </si>
  <si>
    <t xml:space="preserve">https://help.stepik.org/article/54788</t>
  </si>
  <si>
    <t xml:space="preserve">Редактор и публикация учебного контента.</t>
  </si>
  <si>
    <t xml:space="preserve">S5</t>
  </si>
  <si>
    <t xml:space="preserve">Виды практических задач</t>
  </si>
  <si>
    <t xml:space="preserve">https://help.stepik.org/article/54741</t>
  </si>
  <si>
    <t xml:space="preserve">Автоматическая проверка, программирование, ручное рецензирование.</t>
  </si>
  <si>
    <t xml:space="preserve">S6</t>
  </si>
  <si>
    <t xml:space="preserve">Как оплатить курс</t>
  </si>
  <si>
    <t xml:space="preserve">https://help.stepik.org/article/54772</t>
  </si>
  <si>
    <t xml:space="preserve">Покупка, промокоды, зачисление после оплаты.</t>
  </si>
  <si>
    <t xml:space="preserve">S7</t>
  </si>
  <si>
    <t xml:space="preserve">Настройка сертификатов в курсах</t>
  </si>
  <si>
    <t xml:space="preserve">https://help.stepik.org/article/54825</t>
  </si>
  <si>
    <t xml:space="preserve">Порог баллов, обычный сертификат и сертификат с отличием.</t>
  </si>
  <si>
    <t xml:space="preserve">S8</t>
  </si>
  <si>
    <t xml:space="preserve">Поддержка курса (комментарии, нотификации)</t>
  </si>
  <si>
    <t xml:space="preserve">https://help.stepik.org/article/54810</t>
  </si>
  <si>
    <t xml:space="preserve">Комментарии, новости и уведомления.</t>
  </si>
  <si>
    <t xml:space="preserve">S9</t>
  </si>
  <si>
    <t xml:space="preserve">Статистика по курсу</t>
  </si>
  <si>
    <t xml:space="preserve">https://help.stepik.org/article/54814</t>
  </si>
  <si>
    <t xml:space="preserve">Отчётность по результатам обучения.</t>
  </si>
  <si>
    <t xml:space="preserve">S10</t>
  </si>
  <si>
    <t xml:space="preserve">Категории курса</t>
  </si>
  <si>
    <t xml:space="preserve">https://help.stepik.org/article/60913</t>
  </si>
  <si>
    <t xml:space="preserve">Категоризация курсов.</t>
  </si>
  <si>
    <t xml:space="preserve">S11</t>
  </si>
  <si>
    <t xml:space="preserve">Правила сообщества Stepik</t>
  </si>
  <si>
    <t xml:space="preserve">https://help.stepik.org/article/54715</t>
  </si>
  <si>
    <t xml:space="preserve">Модерация и ограничения общения.</t>
  </si>
  <si>
    <t xml:space="preserve">M1</t>
  </si>
  <si>
    <t xml:space="preserve">QSM: Function Point Languages Table 5.0</t>
  </si>
  <si>
    <t xml:space="preserve">https://www.qsm.com/resources/function-point-languages-table</t>
  </si>
  <si>
    <t xml:space="preserve">JavaScript: среднее 47, диапазон 31–63 логических SLOC/FP.</t>
  </si>
  <si>
    <t xml:space="preserve">M2</t>
  </si>
  <si>
    <t xml:space="preserve">USC: COCOMO II Model Definition Manual, v2.1 (2000)</t>
  </si>
  <si>
    <t xml:space="preserve">https://www.rose-hulman.edu/class/cs/csse372/201310/Homework/CII_modelman2000.pdf</t>
  </si>
  <si>
    <t xml:space="preserve">Разделы 2, 3, 4, 6; таблицы 62–63. Первичный документ USC на университетском зеркале.</t>
  </si>
  <si>
    <t xml:space="preserve">M3</t>
  </si>
  <si>
    <t xml:space="preserve">Sparx Systems: Project Estimation Using Use Case Metrics</t>
  </si>
  <si>
    <t xml:space="preserve">https://sparxsystems.com/resources/ucmetrics.html</t>
  </si>
  <si>
    <t xml:space="preserve">Вес акторов, прецедентов, технические факторы и факторы окружения.</t>
  </si>
  <si>
    <t xml:space="preserve">M4</t>
  </si>
  <si>
    <t xml:space="preserve">Anda et al.: Estimating Software Development Effort Based on Use Cases — Experiences from Industry (2001)</t>
  </si>
  <si>
    <t xml:space="preserve">https://web-backend.simula.no/sites/default/files/publications/SE.5.Anda.2001.a.pdf</t>
  </si>
  <si>
    <t xml:space="preserve">Исследование применения UCP; ориентир 20 чел·ч/UCP не заменяет локальную калибровку.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</si>
</sst>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1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4476B"/>
        <bgColor rgb="FF003366"/>
      </patternFill>
    </fill>
    <fill>
      <patternFill patternType="solid">
        <fgColor rgb="FFEFF4F9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24476B"/>
          <bgColor rgb="FF000000"/>
        </patternFill>
      </fill>
    </dxf>
    <dxf>
      <fill>
        <patternFill patternType="solid">
          <fgColor rgb="FFEFF4F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FF4F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4476B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7"/>
    <col collapsed="false" customWidth="true" hidden="false" outlineLevel="0" max="2" min="2" style="0" width="120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2" t="s">
        <v>3</v>
      </c>
    </row>
    <row r="3" customFormat="false" ht="15" hidden="false" customHeight="false" outlineLevel="0" collapsed="false">
      <c r="A3" s="3" t="s">
        <v>4</v>
      </c>
      <c r="B3" s="3" t="s">
        <v>5</v>
      </c>
    </row>
    <row r="4" customFormat="false" ht="15" hidden="false" customHeight="false" outlineLevel="0" collapsed="false">
      <c r="A4" s="2" t="s">
        <v>6</v>
      </c>
      <c r="B4" s="2" t="s">
        <v>7</v>
      </c>
    </row>
    <row r="5" customFormat="false" ht="15" hidden="false" customHeight="false" outlineLevel="0" collapsed="false">
      <c r="A5" s="3" t="s">
        <v>8</v>
      </c>
      <c r="B5" s="3" t="s">
        <v>9</v>
      </c>
    </row>
    <row r="6" customFormat="false" ht="15" hidden="false" customHeight="false" outlineLevel="0" collapsed="false">
      <c r="A6" s="2" t="s">
        <v>10</v>
      </c>
      <c r="B6" s="2" t="s">
        <v>11</v>
      </c>
    </row>
    <row r="7" customFormat="false" ht="15" hidden="false" customHeight="false" outlineLevel="0" collapsed="false">
      <c r="A7" s="3" t="s">
        <v>12</v>
      </c>
      <c r="B7" s="3" t="s">
        <v>13</v>
      </c>
    </row>
    <row r="8" customFormat="false" ht="15" hidden="false" customHeight="false" outlineLevel="0" collapsed="false">
      <c r="A8" s="2" t="s">
        <v>14</v>
      </c>
      <c r="B8" s="2" t="s">
        <v>15</v>
      </c>
    </row>
    <row r="9" customFormat="false" ht="15" hidden="false" customHeight="false" outlineLevel="0" collapsed="false">
      <c r="A9" s="3" t="s">
        <v>16</v>
      </c>
      <c r="B9" s="3" t="s">
        <v>17</v>
      </c>
    </row>
    <row r="10" customFormat="false" ht="15" hidden="false" customHeight="false" outlineLevel="0" collapsed="false">
      <c r="A10" s="2" t="s">
        <v>18</v>
      </c>
      <c r="B10" s="2" t="n">
        <v>3</v>
      </c>
    </row>
    <row r="11" customFormat="false" ht="15" hidden="false" customHeight="false" outlineLevel="0" collapsed="false">
      <c r="A11" s="3" t="s">
        <v>19</v>
      </c>
      <c r="B11" s="3" t="s">
        <v>20</v>
      </c>
    </row>
    <row r="12" customFormat="false" ht="15" hidden="false" customHeight="false" outlineLevel="0" collapsed="false">
      <c r="A12" s="2" t="s">
        <v>21</v>
      </c>
      <c r="B12" s="2" t="s">
        <v>22</v>
      </c>
    </row>
    <row r="13" customFormat="false" ht="15" hidden="false" customHeight="false" outlineLevel="0" collapsed="false">
      <c r="A13" s="3" t="s">
        <v>23</v>
      </c>
      <c r="B13" s="3" t="s">
        <v>24</v>
      </c>
    </row>
    <row r="14" customFormat="false" ht="15" hidden="false" customHeight="false" outlineLevel="0" collapsed="false">
      <c r="A14" s="2" t="s">
        <v>25</v>
      </c>
      <c r="B14" s="2" t="s">
        <v>26</v>
      </c>
    </row>
    <row r="15" customFormat="false" ht="23.85" hidden="false" customHeight="false" outlineLevel="0" collapsed="false">
      <c r="A15" s="3" t="s">
        <v>27</v>
      </c>
      <c r="B15" s="3" t="s">
        <v>28</v>
      </c>
    </row>
  </sheetData>
  <autoFilter ref="A1:B15"/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36"/>
    <col collapsed="false" customWidth="true" hidden="false" outlineLevel="0" max="4" min="4" style="0" width="95"/>
    <col collapsed="false" customWidth="true" hidden="false" outlineLevel="0" max="5" min="5" style="0" width="38"/>
  </cols>
  <sheetData>
    <row r="1" customFormat="false" ht="15" hidden="false" customHeight="false" outlineLevel="0" collapsed="false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</row>
    <row r="2" customFormat="false" ht="15" hidden="false" customHeight="false" outlineLevel="0" collapsed="false">
      <c r="A2" s="2" t="s">
        <v>34</v>
      </c>
      <c r="B2" s="2" t="s">
        <v>35</v>
      </c>
      <c r="C2" s="2" t="s">
        <v>36</v>
      </c>
      <c r="D2" s="2" t="s">
        <v>37</v>
      </c>
      <c r="E2" s="2" t="s">
        <v>38</v>
      </c>
    </row>
    <row r="3" customFormat="false" ht="23.85" hidden="false" customHeight="false" outlineLevel="0" collapsed="false">
      <c r="A3" s="3" t="s">
        <v>39</v>
      </c>
      <c r="B3" s="3" t="s">
        <v>35</v>
      </c>
      <c r="C3" s="3" t="s">
        <v>40</v>
      </c>
      <c r="D3" s="3" t="s">
        <v>41</v>
      </c>
      <c r="E3" s="3" t="s">
        <v>42</v>
      </c>
    </row>
    <row r="4" customFormat="false" ht="15" hidden="false" customHeight="false" outlineLevel="0" collapsed="false">
      <c r="A4" s="2" t="s">
        <v>43</v>
      </c>
      <c r="B4" s="2" t="s">
        <v>35</v>
      </c>
      <c r="C4" s="2" t="s">
        <v>44</v>
      </c>
      <c r="D4" s="2" t="s">
        <v>45</v>
      </c>
      <c r="E4" s="2" t="s">
        <v>46</v>
      </c>
    </row>
    <row r="5" customFormat="false" ht="23.85" hidden="false" customHeight="false" outlineLevel="0" collapsed="false">
      <c r="A5" s="3" t="s">
        <v>47</v>
      </c>
      <c r="B5" s="3" t="s">
        <v>48</v>
      </c>
      <c r="C5" s="3" t="s">
        <v>49</v>
      </c>
      <c r="D5" s="3" t="s">
        <v>50</v>
      </c>
      <c r="E5" s="3" t="s">
        <v>51</v>
      </c>
    </row>
    <row r="6" customFormat="false" ht="15" hidden="false" customHeight="false" outlineLevel="0" collapsed="false">
      <c r="A6" s="2" t="s">
        <v>52</v>
      </c>
      <c r="B6" s="2" t="s">
        <v>48</v>
      </c>
      <c r="C6" s="2" t="s">
        <v>53</v>
      </c>
      <c r="D6" s="2" t="s">
        <v>54</v>
      </c>
      <c r="E6" s="2" t="s">
        <v>55</v>
      </c>
    </row>
    <row r="7" customFormat="false" ht="23.85" hidden="false" customHeight="false" outlineLevel="0" collapsed="false">
      <c r="A7" s="3" t="s">
        <v>56</v>
      </c>
      <c r="B7" s="3" t="s">
        <v>57</v>
      </c>
      <c r="C7" s="3" t="s">
        <v>58</v>
      </c>
      <c r="D7" s="3" t="s">
        <v>59</v>
      </c>
      <c r="E7" s="3" t="s">
        <v>60</v>
      </c>
    </row>
    <row r="8" customFormat="false" ht="23.85" hidden="false" customHeight="false" outlineLevel="0" collapsed="false">
      <c r="A8" s="2" t="s">
        <v>61</v>
      </c>
      <c r="B8" s="2" t="s">
        <v>57</v>
      </c>
      <c r="C8" s="2" t="s">
        <v>62</v>
      </c>
      <c r="D8" s="2" t="s">
        <v>63</v>
      </c>
      <c r="E8" s="2" t="s">
        <v>64</v>
      </c>
    </row>
    <row r="9" customFormat="false" ht="23.85" hidden="false" customHeight="false" outlineLevel="0" collapsed="false">
      <c r="A9" s="3" t="s">
        <v>65</v>
      </c>
      <c r="B9" s="3" t="s">
        <v>57</v>
      </c>
      <c r="C9" s="3" t="s">
        <v>66</v>
      </c>
      <c r="D9" s="3" t="s">
        <v>67</v>
      </c>
      <c r="E9" s="3" t="s">
        <v>68</v>
      </c>
    </row>
    <row r="10" customFormat="false" ht="23.85" hidden="false" customHeight="false" outlineLevel="0" collapsed="false">
      <c r="A10" s="2" t="s">
        <v>69</v>
      </c>
      <c r="B10" s="2" t="s">
        <v>57</v>
      </c>
      <c r="C10" s="2" t="s">
        <v>70</v>
      </c>
      <c r="D10" s="2" t="s">
        <v>71</v>
      </c>
      <c r="E10" s="2" t="s">
        <v>72</v>
      </c>
    </row>
    <row r="11" customFormat="false" ht="23.85" hidden="false" customHeight="false" outlineLevel="0" collapsed="false">
      <c r="A11" s="3" t="s">
        <v>73</v>
      </c>
      <c r="B11" s="3" t="s">
        <v>57</v>
      </c>
      <c r="C11" s="3" t="s">
        <v>74</v>
      </c>
      <c r="D11" s="3" t="s">
        <v>75</v>
      </c>
      <c r="E11" s="3" t="s">
        <v>76</v>
      </c>
    </row>
    <row r="12" customFormat="false" ht="23.85" hidden="false" customHeight="false" outlineLevel="0" collapsed="false">
      <c r="A12" s="2" t="s">
        <v>77</v>
      </c>
      <c r="B12" s="2" t="s">
        <v>57</v>
      </c>
      <c r="C12" s="2" t="s">
        <v>78</v>
      </c>
      <c r="D12" s="2" t="s">
        <v>79</v>
      </c>
      <c r="E12" s="2" t="s">
        <v>80</v>
      </c>
    </row>
    <row r="13" customFormat="false" ht="23.85" hidden="false" customHeight="false" outlineLevel="0" collapsed="false">
      <c r="A13" s="3" t="s">
        <v>81</v>
      </c>
      <c r="B13" s="3" t="s">
        <v>82</v>
      </c>
      <c r="C13" s="3" t="s">
        <v>83</v>
      </c>
      <c r="D13" s="3" t="s">
        <v>84</v>
      </c>
      <c r="E13" s="3" t="s">
        <v>85</v>
      </c>
    </row>
    <row r="14" customFormat="false" ht="23.85" hidden="false" customHeight="false" outlineLevel="0" collapsed="false">
      <c r="A14" s="2" t="s">
        <v>86</v>
      </c>
      <c r="B14" s="2" t="s">
        <v>82</v>
      </c>
      <c r="C14" s="2" t="s">
        <v>87</v>
      </c>
      <c r="D14" s="2" t="s">
        <v>88</v>
      </c>
      <c r="E14" s="2" t="s">
        <v>89</v>
      </c>
    </row>
    <row r="15" customFormat="false" ht="23.85" hidden="false" customHeight="false" outlineLevel="0" collapsed="false">
      <c r="A15" s="3" t="s">
        <v>90</v>
      </c>
      <c r="B15" s="3" t="s">
        <v>82</v>
      </c>
      <c r="C15" s="3" t="s">
        <v>91</v>
      </c>
      <c r="D15" s="3" t="s">
        <v>92</v>
      </c>
      <c r="E15" s="3" t="s">
        <v>93</v>
      </c>
    </row>
    <row r="16" customFormat="false" ht="23.85" hidden="false" customHeight="false" outlineLevel="0" collapsed="false">
      <c r="A16" s="2" t="s">
        <v>94</v>
      </c>
      <c r="B16" s="2" t="s">
        <v>95</v>
      </c>
      <c r="C16" s="2" t="s">
        <v>96</v>
      </c>
      <c r="D16" s="2" t="s">
        <v>97</v>
      </c>
      <c r="E16" s="2" t="s">
        <v>98</v>
      </c>
    </row>
    <row r="17" customFormat="false" ht="23.85" hidden="false" customHeight="false" outlineLevel="0" collapsed="false">
      <c r="A17" s="3" t="s">
        <v>99</v>
      </c>
      <c r="B17" s="3" t="s">
        <v>95</v>
      </c>
      <c r="C17" s="3" t="s">
        <v>100</v>
      </c>
      <c r="D17" s="3" t="s">
        <v>101</v>
      </c>
      <c r="E17" s="3" t="s">
        <v>102</v>
      </c>
    </row>
    <row r="18" customFormat="false" ht="23.85" hidden="false" customHeight="false" outlineLevel="0" collapsed="false">
      <c r="A18" s="2" t="s">
        <v>103</v>
      </c>
      <c r="B18" s="2" t="s">
        <v>95</v>
      </c>
      <c r="C18" s="2" t="s">
        <v>104</v>
      </c>
      <c r="D18" s="2" t="s">
        <v>105</v>
      </c>
      <c r="E18" s="2" t="s">
        <v>106</v>
      </c>
    </row>
    <row r="19" customFormat="false" ht="23.85" hidden="false" customHeight="false" outlineLevel="0" collapsed="false">
      <c r="A19" s="3" t="s">
        <v>107</v>
      </c>
      <c r="B19" s="3" t="s">
        <v>95</v>
      </c>
      <c r="C19" s="3" t="s">
        <v>108</v>
      </c>
      <c r="D19" s="3" t="s">
        <v>109</v>
      </c>
      <c r="E19" s="3" t="s">
        <v>110</v>
      </c>
    </row>
    <row r="20" customFormat="false" ht="15" hidden="false" customHeight="false" outlineLevel="0" collapsed="false">
      <c r="A20" s="2" t="s">
        <v>111</v>
      </c>
      <c r="B20" s="2" t="s">
        <v>95</v>
      </c>
      <c r="C20" s="2" t="s">
        <v>112</v>
      </c>
      <c r="D20" s="2" t="s">
        <v>113</v>
      </c>
      <c r="E20" s="2" t="s">
        <v>114</v>
      </c>
    </row>
    <row r="21" customFormat="false" ht="23.85" hidden="false" customHeight="false" outlineLevel="0" collapsed="false">
      <c r="A21" s="3" t="s">
        <v>115</v>
      </c>
      <c r="B21" s="3" t="s">
        <v>95</v>
      </c>
      <c r="C21" s="3" t="s">
        <v>116</v>
      </c>
      <c r="D21" s="3" t="s">
        <v>117</v>
      </c>
      <c r="E21" s="3" t="s">
        <v>118</v>
      </c>
    </row>
    <row r="22" customFormat="false" ht="23.85" hidden="false" customHeight="false" outlineLevel="0" collapsed="false">
      <c r="A22" s="2" t="s">
        <v>119</v>
      </c>
      <c r="B22" s="2" t="s">
        <v>120</v>
      </c>
      <c r="C22" s="2" t="s">
        <v>121</v>
      </c>
      <c r="D22" s="2" t="s">
        <v>122</v>
      </c>
      <c r="E22" s="2" t="s">
        <v>123</v>
      </c>
    </row>
    <row r="23" customFormat="false" ht="23.85" hidden="false" customHeight="false" outlineLevel="0" collapsed="false">
      <c r="A23" s="3" t="s">
        <v>124</v>
      </c>
      <c r="B23" s="3" t="s">
        <v>120</v>
      </c>
      <c r="C23" s="3" t="s">
        <v>125</v>
      </c>
      <c r="D23" s="3" t="s">
        <v>126</v>
      </c>
      <c r="E23" s="3" t="s">
        <v>127</v>
      </c>
    </row>
    <row r="24" customFormat="false" ht="23.85" hidden="false" customHeight="false" outlineLevel="0" collapsed="false">
      <c r="A24" s="2" t="s">
        <v>128</v>
      </c>
      <c r="B24" s="2" t="s">
        <v>129</v>
      </c>
      <c r="C24" s="2" t="s">
        <v>130</v>
      </c>
      <c r="D24" s="2" t="s">
        <v>131</v>
      </c>
      <c r="E24" s="2" t="s">
        <v>132</v>
      </c>
    </row>
    <row r="25" customFormat="false" ht="23.85" hidden="false" customHeight="false" outlineLevel="0" collapsed="false">
      <c r="A25" s="3" t="s">
        <v>133</v>
      </c>
      <c r="B25" s="3" t="s">
        <v>129</v>
      </c>
      <c r="C25" s="3" t="s">
        <v>134</v>
      </c>
      <c r="D25" s="3" t="s">
        <v>135</v>
      </c>
      <c r="E25" s="3" t="s">
        <v>136</v>
      </c>
    </row>
  </sheetData>
  <autoFilter ref="A1:E25"/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8"/>
    <col collapsed="false" customWidth="true" hidden="false" outlineLevel="0" max="3" min="3" style="0" width="75"/>
    <col collapsed="false" customWidth="true" hidden="false" outlineLevel="0" max="4" min="4" style="0" width="28"/>
    <col collapsed="false" customWidth="true" hidden="false" outlineLevel="0" max="5" min="5" style="0" width="30"/>
    <col collapsed="false" customWidth="true" hidden="false" outlineLevel="0" max="8" min="6" style="0" width="12"/>
    <col collapsed="false" customWidth="true" hidden="false" outlineLevel="0" max="10" min="9" style="0" width="14"/>
    <col collapsed="false" customWidth="true" hidden="false" outlineLevel="0" max="11" min="11" style="0" width="18"/>
  </cols>
  <sheetData>
    <row r="1" customFormat="false" ht="15" hidden="false" customHeight="false" outlineLevel="0" collapsed="false">
      <c r="A1" s="1" t="s">
        <v>29</v>
      </c>
      <c r="B1" s="1" t="s">
        <v>137</v>
      </c>
      <c r="C1" s="1" t="s">
        <v>138</v>
      </c>
      <c r="D1" s="1" t="s">
        <v>139</v>
      </c>
      <c r="E1" s="1" t="s">
        <v>140</v>
      </c>
      <c r="F1" s="1" t="s">
        <v>141</v>
      </c>
      <c r="G1" s="1" t="s">
        <v>142</v>
      </c>
      <c r="H1" s="1" t="s">
        <v>143</v>
      </c>
      <c r="I1" s="1" t="s">
        <v>144</v>
      </c>
      <c r="J1" s="1" t="s">
        <v>145</v>
      </c>
      <c r="K1" s="1" t="s">
        <v>146</v>
      </c>
    </row>
    <row r="2" customFormat="false" ht="15" hidden="false" customHeight="false" outlineLevel="0" collapsed="false">
      <c r="A2" s="2" t="s">
        <v>147</v>
      </c>
      <c r="B2" s="2" t="s">
        <v>148</v>
      </c>
      <c r="C2" s="2" t="s">
        <v>149</v>
      </c>
      <c r="D2" s="2" t="s">
        <v>150</v>
      </c>
      <c r="E2" s="2"/>
      <c r="F2" s="2" t="n">
        <v>24</v>
      </c>
      <c r="G2" s="2" t="n">
        <v>40</v>
      </c>
      <c r="H2" s="2" t="n">
        <v>72</v>
      </c>
      <c r="I2" s="4" t="n">
        <f aca="false">(F2+4*G2+H2)/6</f>
        <v>42.6666666666667</v>
      </c>
      <c r="J2" s="4" t="n">
        <f aca="false">(H2-F2)/6</f>
        <v>8</v>
      </c>
      <c r="K2" s="4" t="n">
        <f aca="false">J2^2</f>
        <v>64</v>
      </c>
    </row>
    <row r="3" customFormat="false" ht="15" hidden="false" customHeight="false" outlineLevel="0" collapsed="false">
      <c r="A3" s="3" t="s">
        <v>151</v>
      </c>
      <c r="B3" s="3" t="s">
        <v>152</v>
      </c>
      <c r="C3" s="3" t="s">
        <v>153</v>
      </c>
      <c r="D3" s="3" t="s">
        <v>150</v>
      </c>
      <c r="E3" s="3" t="s">
        <v>147</v>
      </c>
      <c r="F3" s="3" t="n">
        <v>32</v>
      </c>
      <c r="G3" s="3" t="n">
        <v>56</v>
      </c>
      <c r="H3" s="3" t="n">
        <v>96</v>
      </c>
      <c r="I3" s="5" t="n">
        <f aca="false">(F3+4*G3+H3)/6</f>
        <v>58.6666666666667</v>
      </c>
      <c r="J3" s="5" t="n">
        <f aca="false">(H3-F3)/6</f>
        <v>10.6666666666667</v>
      </c>
      <c r="K3" s="5" t="n">
        <f aca="false">J3^2</f>
        <v>113.777777777778</v>
      </c>
    </row>
    <row r="4" customFormat="false" ht="15" hidden="false" customHeight="false" outlineLevel="0" collapsed="false">
      <c r="A4" s="2" t="s">
        <v>154</v>
      </c>
      <c r="B4" s="2" t="s">
        <v>155</v>
      </c>
      <c r="C4" s="2" t="s">
        <v>156</v>
      </c>
      <c r="D4" s="2" t="s">
        <v>150</v>
      </c>
      <c r="E4" s="2" t="s">
        <v>147</v>
      </c>
      <c r="F4" s="2" t="n">
        <v>48</v>
      </c>
      <c r="G4" s="2" t="n">
        <v>80</v>
      </c>
      <c r="H4" s="2" t="n">
        <v>128</v>
      </c>
      <c r="I4" s="4" t="n">
        <f aca="false">(F4+4*G4+H4)/6</f>
        <v>82.6666666666667</v>
      </c>
      <c r="J4" s="4" t="n">
        <f aca="false">(H4-F4)/6</f>
        <v>13.3333333333333</v>
      </c>
      <c r="K4" s="4" t="n">
        <f aca="false">J4^2</f>
        <v>177.777777777778</v>
      </c>
    </row>
    <row r="5" customFormat="false" ht="15" hidden="false" customHeight="false" outlineLevel="0" collapsed="false">
      <c r="A5" s="3" t="s">
        <v>157</v>
      </c>
      <c r="B5" s="3" t="s">
        <v>158</v>
      </c>
      <c r="C5" s="3" t="s">
        <v>159</v>
      </c>
      <c r="D5" s="3" t="s">
        <v>150</v>
      </c>
      <c r="E5" s="3" t="s">
        <v>151</v>
      </c>
      <c r="F5" s="3" t="n">
        <v>32</v>
      </c>
      <c r="G5" s="3" t="n">
        <v>48</v>
      </c>
      <c r="H5" s="3" t="n">
        <v>80</v>
      </c>
      <c r="I5" s="5" t="n">
        <f aca="false">(F5+4*G5+H5)/6</f>
        <v>50.6666666666667</v>
      </c>
      <c r="J5" s="5" t="n">
        <f aca="false">(H5-F5)/6</f>
        <v>8</v>
      </c>
      <c r="K5" s="5" t="n">
        <f aca="false">J5^2</f>
        <v>64</v>
      </c>
    </row>
    <row r="6" customFormat="false" ht="15" hidden="false" customHeight="false" outlineLevel="0" collapsed="false">
      <c r="A6" s="2" t="s">
        <v>160</v>
      </c>
      <c r="B6" s="2" t="s">
        <v>161</v>
      </c>
      <c r="C6" s="2" t="s">
        <v>162</v>
      </c>
      <c r="D6" s="2" t="s">
        <v>163</v>
      </c>
      <c r="E6" s="2" t="s">
        <v>157</v>
      </c>
      <c r="F6" s="2" t="n">
        <v>56</v>
      </c>
      <c r="G6" s="2" t="n">
        <v>88</v>
      </c>
      <c r="H6" s="2" t="n">
        <v>144</v>
      </c>
      <c r="I6" s="4" t="n">
        <f aca="false">(F6+4*G6+H6)/6</f>
        <v>92</v>
      </c>
      <c r="J6" s="4" t="n">
        <f aca="false">(H6-F6)/6</f>
        <v>14.6666666666667</v>
      </c>
      <c r="K6" s="4" t="n">
        <f aca="false">J6^2</f>
        <v>215.111111111111</v>
      </c>
    </row>
    <row r="7" customFormat="false" ht="15" hidden="false" customHeight="false" outlineLevel="0" collapsed="false">
      <c r="A7" s="3" t="s">
        <v>164</v>
      </c>
      <c r="B7" s="3" t="s">
        <v>165</v>
      </c>
      <c r="C7" s="3" t="s">
        <v>166</v>
      </c>
      <c r="D7" s="3" t="s">
        <v>43</v>
      </c>
      <c r="E7" s="3" t="s">
        <v>167</v>
      </c>
      <c r="F7" s="3" t="n">
        <v>24</v>
      </c>
      <c r="G7" s="3" t="n">
        <v>40</v>
      </c>
      <c r="H7" s="3" t="n">
        <v>64</v>
      </c>
      <c r="I7" s="5" t="n">
        <f aca="false">(F7+4*G7+H7)/6</f>
        <v>41.3333333333333</v>
      </c>
      <c r="J7" s="5" t="n">
        <f aca="false">(H7-F7)/6</f>
        <v>6.66666666666667</v>
      </c>
      <c r="K7" s="5" t="n">
        <f aca="false">J7^2</f>
        <v>44.4444444444445</v>
      </c>
    </row>
    <row r="8" customFormat="false" ht="15" hidden="false" customHeight="false" outlineLevel="0" collapsed="false">
      <c r="A8" s="2" t="s">
        <v>168</v>
      </c>
      <c r="B8" s="2" t="s">
        <v>169</v>
      </c>
      <c r="C8" s="2" t="s">
        <v>170</v>
      </c>
      <c r="D8" s="2" t="s">
        <v>171</v>
      </c>
      <c r="E8" s="2" t="s">
        <v>167</v>
      </c>
      <c r="F8" s="2" t="n">
        <v>64</v>
      </c>
      <c r="G8" s="2" t="n">
        <v>96</v>
      </c>
      <c r="H8" s="2" t="n">
        <v>160</v>
      </c>
      <c r="I8" s="4" t="n">
        <f aca="false">(F8+4*G8+H8)/6</f>
        <v>101.333333333333</v>
      </c>
      <c r="J8" s="4" t="n">
        <f aca="false">(H8-F8)/6</f>
        <v>16</v>
      </c>
      <c r="K8" s="4" t="n">
        <f aca="false">J8^2</f>
        <v>256</v>
      </c>
    </row>
    <row r="9" customFormat="false" ht="15" hidden="false" customHeight="false" outlineLevel="0" collapsed="false">
      <c r="A9" s="3" t="s">
        <v>172</v>
      </c>
      <c r="B9" s="3" t="s">
        <v>173</v>
      </c>
      <c r="C9" s="3" t="s">
        <v>174</v>
      </c>
      <c r="D9" s="3" t="s">
        <v>99</v>
      </c>
      <c r="E9" s="3" t="s">
        <v>168</v>
      </c>
      <c r="F9" s="3" t="n">
        <v>80</v>
      </c>
      <c r="G9" s="3" t="n">
        <v>120</v>
      </c>
      <c r="H9" s="3" t="n">
        <v>200</v>
      </c>
      <c r="I9" s="5" t="n">
        <f aca="false">(F9+4*G9+H9)/6</f>
        <v>126.666666666667</v>
      </c>
      <c r="J9" s="5" t="n">
        <f aca="false">(H9-F9)/6</f>
        <v>20</v>
      </c>
      <c r="K9" s="5" t="n">
        <f aca="false">J9^2</f>
        <v>400</v>
      </c>
    </row>
    <row r="10" customFormat="false" ht="15" hidden="false" customHeight="false" outlineLevel="0" collapsed="false">
      <c r="A10" s="2" t="s">
        <v>175</v>
      </c>
      <c r="B10" s="2" t="s">
        <v>176</v>
      </c>
      <c r="C10" s="2" t="s">
        <v>177</v>
      </c>
      <c r="D10" s="2" t="s">
        <v>103</v>
      </c>
      <c r="E10" s="2" t="s">
        <v>172</v>
      </c>
      <c r="F10" s="2" t="n">
        <v>48</v>
      </c>
      <c r="G10" s="2" t="n">
        <v>80</v>
      </c>
      <c r="H10" s="2" t="n">
        <v>136</v>
      </c>
      <c r="I10" s="4" t="n">
        <f aca="false">(F10+4*G10+H10)/6</f>
        <v>84</v>
      </c>
      <c r="J10" s="4" t="n">
        <f aca="false">(H10-F10)/6</f>
        <v>14.6666666666667</v>
      </c>
      <c r="K10" s="4" t="n">
        <f aca="false">J10^2</f>
        <v>215.111111111111</v>
      </c>
    </row>
    <row r="11" customFormat="false" ht="15" hidden="false" customHeight="false" outlineLevel="0" collapsed="false">
      <c r="A11" s="3" t="s">
        <v>178</v>
      </c>
      <c r="B11" s="3" t="s">
        <v>179</v>
      </c>
      <c r="C11" s="3" t="s">
        <v>180</v>
      </c>
      <c r="D11" s="3" t="s">
        <v>181</v>
      </c>
      <c r="E11" s="3" t="s">
        <v>175</v>
      </c>
      <c r="F11" s="3" t="n">
        <v>96</v>
      </c>
      <c r="G11" s="3" t="n">
        <v>160</v>
      </c>
      <c r="H11" s="3" t="n">
        <v>280</v>
      </c>
      <c r="I11" s="5" t="n">
        <f aca="false">(F11+4*G11+H11)/6</f>
        <v>169.333333333333</v>
      </c>
      <c r="J11" s="5" t="n">
        <f aca="false">(H11-F11)/6</f>
        <v>30.6666666666667</v>
      </c>
      <c r="K11" s="5" t="n">
        <f aca="false">J11^2</f>
        <v>940.444444444445</v>
      </c>
    </row>
    <row r="12" customFormat="false" ht="15" hidden="false" customHeight="false" outlineLevel="0" collapsed="false">
      <c r="A12" s="2" t="s">
        <v>182</v>
      </c>
      <c r="B12" s="2" t="s">
        <v>183</v>
      </c>
      <c r="C12" s="2" t="s">
        <v>184</v>
      </c>
      <c r="D12" s="2" t="s">
        <v>47</v>
      </c>
      <c r="E12" s="2" t="s">
        <v>185</v>
      </c>
      <c r="F12" s="2" t="n">
        <v>56</v>
      </c>
      <c r="G12" s="2" t="n">
        <v>88</v>
      </c>
      <c r="H12" s="2" t="n">
        <v>144</v>
      </c>
      <c r="I12" s="4" t="n">
        <f aca="false">(F12+4*G12+H12)/6</f>
        <v>92</v>
      </c>
      <c r="J12" s="4" t="n">
        <f aca="false">(H12-F12)/6</f>
        <v>14.6666666666667</v>
      </c>
      <c r="K12" s="4" t="n">
        <f aca="false">J12^2</f>
        <v>215.111111111111</v>
      </c>
    </row>
    <row r="13" customFormat="false" ht="15" hidden="false" customHeight="false" outlineLevel="0" collapsed="false">
      <c r="A13" s="3" t="s">
        <v>186</v>
      </c>
      <c r="B13" s="3" t="s">
        <v>53</v>
      </c>
      <c r="C13" s="3" t="s">
        <v>187</v>
      </c>
      <c r="D13" s="3" t="s">
        <v>52</v>
      </c>
      <c r="E13" s="3" t="s">
        <v>188</v>
      </c>
      <c r="F13" s="3" t="n">
        <v>32</v>
      </c>
      <c r="G13" s="3" t="n">
        <v>48</v>
      </c>
      <c r="H13" s="3" t="n">
        <v>80</v>
      </c>
      <c r="I13" s="5" t="n">
        <f aca="false">(F13+4*G13+H13)/6</f>
        <v>50.6666666666667</v>
      </c>
      <c r="J13" s="5" t="n">
        <f aca="false">(H13-F13)/6</f>
        <v>8</v>
      </c>
      <c r="K13" s="5" t="n">
        <f aca="false">J13^2</f>
        <v>64</v>
      </c>
    </row>
    <row r="14" customFormat="false" ht="15" hidden="false" customHeight="false" outlineLevel="0" collapsed="false">
      <c r="A14" s="2" t="s">
        <v>189</v>
      </c>
      <c r="B14" s="2" t="s">
        <v>190</v>
      </c>
      <c r="C14" s="2" t="s">
        <v>191</v>
      </c>
      <c r="D14" s="2" t="s">
        <v>192</v>
      </c>
      <c r="E14" s="2" t="s">
        <v>193</v>
      </c>
      <c r="F14" s="2" t="n">
        <v>40</v>
      </c>
      <c r="G14" s="2" t="n">
        <v>64</v>
      </c>
      <c r="H14" s="2" t="n">
        <v>104</v>
      </c>
      <c r="I14" s="4" t="n">
        <f aca="false">(F14+4*G14+H14)/6</f>
        <v>66.6666666666667</v>
      </c>
      <c r="J14" s="4" t="n">
        <f aca="false">(H14-F14)/6</f>
        <v>10.6666666666667</v>
      </c>
      <c r="K14" s="4" t="n">
        <f aca="false">J14^2</f>
        <v>113.777777777778</v>
      </c>
    </row>
    <row r="15" customFormat="false" ht="15" hidden="false" customHeight="false" outlineLevel="0" collapsed="false">
      <c r="A15" s="3" t="s">
        <v>194</v>
      </c>
      <c r="B15" s="3" t="s">
        <v>195</v>
      </c>
      <c r="C15" s="3" t="s">
        <v>196</v>
      </c>
      <c r="D15" s="3" t="s">
        <v>61</v>
      </c>
      <c r="E15" s="3" t="s">
        <v>197</v>
      </c>
      <c r="F15" s="3" t="n">
        <v>64</v>
      </c>
      <c r="G15" s="3" t="n">
        <v>104</v>
      </c>
      <c r="H15" s="3" t="n">
        <v>176</v>
      </c>
      <c r="I15" s="5" t="n">
        <f aca="false">(F15+4*G15+H15)/6</f>
        <v>109.333333333333</v>
      </c>
      <c r="J15" s="5" t="n">
        <f aca="false">(H15-F15)/6</f>
        <v>18.6666666666667</v>
      </c>
      <c r="K15" s="5" t="n">
        <f aca="false">J15^2</f>
        <v>348.444444444445</v>
      </c>
    </row>
    <row r="16" customFormat="false" ht="15" hidden="false" customHeight="false" outlineLevel="0" collapsed="false">
      <c r="A16" s="2" t="s">
        <v>198</v>
      </c>
      <c r="B16" s="2" t="s">
        <v>199</v>
      </c>
      <c r="C16" s="2" t="s">
        <v>200</v>
      </c>
      <c r="D16" s="2" t="s">
        <v>65</v>
      </c>
      <c r="E16" s="2" t="s">
        <v>201</v>
      </c>
      <c r="F16" s="2" t="n">
        <v>48</v>
      </c>
      <c r="G16" s="2" t="n">
        <v>80</v>
      </c>
      <c r="H16" s="2" t="n">
        <v>128</v>
      </c>
      <c r="I16" s="4" t="n">
        <f aca="false">(F16+4*G16+H16)/6</f>
        <v>82.6666666666667</v>
      </c>
      <c r="J16" s="4" t="n">
        <f aca="false">(H16-F16)/6</f>
        <v>13.3333333333333</v>
      </c>
      <c r="K16" s="4" t="n">
        <f aca="false">J16^2</f>
        <v>177.777777777778</v>
      </c>
    </row>
    <row r="17" customFormat="false" ht="15" hidden="false" customHeight="false" outlineLevel="0" collapsed="false">
      <c r="A17" s="3" t="s">
        <v>202</v>
      </c>
      <c r="B17" s="3" t="s">
        <v>203</v>
      </c>
      <c r="C17" s="3" t="s">
        <v>204</v>
      </c>
      <c r="D17" s="3" t="s">
        <v>69</v>
      </c>
      <c r="E17" s="3" t="s">
        <v>205</v>
      </c>
      <c r="F17" s="3" t="n">
        <v>48</v>
      </c>
      <c r="G17" s="3" t="n">
        <v>80</v>
      </c>
      <c r="H17" s="3" t="n">
        <v>144</v>
      </c>
      <c r="I17" s="5" t="n">
        <f aca="false">(F17+4*G17+H17)/6</f>
        <v>85.3333333333333</v>
      </c>
      <c r="J17" s="5" t="n">
        <f aca="false">(H17-F17)/6</f>
        <v>16</v>
      </c>
      <c r="K17" s="5" t="n">
        <f aca="false">J17^2</f>
        <v>256</v>
      </c>
    </row>
    <row r="18" customFormat="false" ht="15" hidden="false" customHeight="false" outlineLevel="0" collapsed="false">
      <c r="A18" s="2" t="s">
        <v>206</v>
      </c>
      <c r="B18" s="2" t="s">
        <v>207</v>
      </c>
      <c r="C18" s="2" t="s">
        <v>208</v>
      </c>
      <c r="D18" s="2" t="s">
        <v>107</v>
      </c>
      <c r="E18" s="2" t="s">
        <v>198</v>
      </c>
      <c r="F18" s="2" t="n">
        <v>40</v>
      </c>
      <c r="G18" s="2" t="n">
        <v>64</v>
      </c>
      <c r="H18" s="2" t="n">
        <v>112</v>
      </c>
      <c r="I18" s="4" t="n">
        <f aca="false">(F18+4*G18+H18)/6</f>
        <v>68</v>
      </c>
      <c r="J18" s="4" t="n">
        <f aca="false">(H18-F18)/6</f>
        <v>12</v>
      </c>
      <c r="K18" s="4" t="n">
        <f aca="false">J18^2</f>
        <v>144</v>
      </c>
    </row>
    <row r="19" customFormat="false" ht="15" hidden="false" customHeight="false" outlineLevel="0" collapsed="false">
      <c r="A19" s="3" t="s">
        <v>209</v>
      </c>
      <c r="B19" s="3" t="s">
        <v>210</v>
      </c>
      <c r="C19" s="3" t="s">
        <v>211</v>
      </c>
      <c r="D19" s="3" t="s">
        <v>73</v>
      </c>
      <c r="E19" s="3" t="s">
        <v>212</v>
      </c>
      <c r="F19" s="3" t="n">
        <v>40</v>
      </c>
      <c r="G19" s="3" t="n">
        <v>64</v>
      </c>
      <c r="H19" s="3" t="n">
        <v>112</v>
      </c>
      <c r="I19" s="5" t="n">
        <f aca="false">(F19+4*G19+H19)/6</f>
        <v>68</v>
      </c>
      <c r="J19" s="5" t="n">
        <f aca="false">(H19-F19)/6</f>
        <v>12</v>
      </c>
      <c r="K19" s="5" t="n">
        <f aca="false">J19^2</f>
        <v>144</v>
      </c>
    </row>
    <row r="20" customFormat="false" ht="15" hidden="false" customHeight="false" outlineLevel="0" collapsed="false">
      <c r="A20" s="2" t="s">
        <v>213</v>
      </c>
      <c r="B20" s="2" t="s">
        <v>214</v>
      </c>
      <c r="C20" s="2" t="s">
        <v>215</v>
      </c>
      <c r="D20" s="2" t="s">
        <v>77</v>
      </c>
      <c r="E20" s="2" t="s">
        <v>209</v>
      </c>
      <c r="F20" s="2" t="n">
        <v>32</v>
      </c>
      <c r="G20" s="2" t="n">
        <v>56</v>
      </c>
      <c r="H20" s="2" t="n">
        <v>96</v>
      </c>
      <c r="I20" s="4" t="n">
        <f aca="false">(F20+4*G20+H20)/6</f>
        <v>58.6666666666667</v>
      </c>
      <c r="J20" s="4" t="n">
        <f aca="false">(H20-F20)/6</f>
        <v>10.6666666666667</v>
      </c>
      <c r="K20" s="4" t="n">
        <f aca="false">J20^2</f>
        <v>113.777777777778</v>
      </c>
    </row>
    <row r="21" customFormat="false" ht="15" hidden="false" customHeight="false" outlineLevel="0" collapsed="false">
      <c r="A21" s="3" t="s">
        <v>216</v>
      </c>
      <c r="B21" s="3" t="s">
        <v>83</v>
      </c>
      <c r="C21" s="3" t="s">
        <v>217</v>
      </c>
      <c r="D21" s="3" t="s">
        <v>81</v>
      </c>
      <c r="E21" s="3" t="s">
        <v>194</v>
      </c>
      <c r="F21" s="3" t="n">
        <v>40</v>
      </c>
      <c r="G21" s="3" t="n">
        <v>64</v>
      </c>
      <c r="H21" s="3" t="n">
        <v>104</v>
      </c>
      <c r="I21" s="5" t="n">
        <f aca="false">(F21+4*G21+H21)/6</f>
        <v>66.6666666666667</v>
      </c>
      <c r="J21" s="5" t="n">
        <f aca="false">(H21-F21)/6</f>
        <v>10.6666666666667</v>
      </c>
      <c r="K21" s="5" t="n">
        <f aca="false">J21^2</f>
        <v>113.777777777778</v>
      </c>
    </row>
    <row r="22" customFormat="false" ht="15" hidden="false" customHeight="false" outlineLevel="0" collapsed="false">
      <c r="A22" s="2" t="s">
        <v>218</v>
      </c>
      <c r="B22" s="2" t="s">
        <v>219</v>
      </c>
      <c r="C22" s="2" t="s">
        <v>220</v>
      </c>
      <c r="D22" s="2" t="s">
        <v>86</v>
      </c>
      <c r="E22" s="2" t="s">
        <v>221</v>
      </c>
      <c r="F22" s="2" t="n">
        <v>32</v>
      </c>
      <c r="G22" s="2" t="n">
        <v>48</v>
      </c>
      <c r="H22" s="2" t="n">
        <v>80</v>
      </c>
      <c r="I22" s="4" t="n">
        <f aca="false">(F22+4*G22+H22)/6</f>
        <v>50.6666666666667</v>
      </c>
      <c r="J22" s="4" t="n">
        <f aca="false">(H22-F22)/6</f>
        <v>8</v>
      </c>
      <c r="K22" s="4" t="n">
        <f aca="false">J22^2</f>
        <v>64</v>
      </c>
    </row>
    <row r="23" customFormat="false" ht="15" hidden="false" customHeight="false" outlineLevel="0" collapsed="false">
      <c r="A23" s="3" t="s">
        <v>222</v>
      </c>
      <c r="B23" s="3" t="s">
        <v>91</v>
      </c>
      <c r="C23" s="3" t="s">
        <v>223</v>
      </c>
      <c r="D23" s="3" t="s">
        <v>90</v>
      </c>
      <c r="E23" s="3" t="s">
        <v>224</v>
      </c>
      <c r="F23" s="3" t="n">
        <v>40</v>
      </c>
      <c r="G23" s="3" t="n">
        <v>64</v>
      </c>
      <c r="H23" s="3" t="n">
        <v>112</v>
      </c>
      <c r="I23" s="5" t="n">
        <f aca="false">(F23+4*G23+H23)/6</f>
        <v>68</v>
      </c>
      <c r="J23" s="5" t="n">
        <f aca="false">(H23-F23)/6</f>
        <v>12</v>
      </c>
      <c r="K23" s="5" t="n">
        <f aca="false">J23^2</f>
        <v>144</v>
      </c>
    </row>
    <row r="24" customFormat="false" ht="23.85" hidden="false" customHeight="false" outlineLevel="0" collapsed="false">
      <c r="A24" s="2" t="s">
        <v>225</v>
      </c>
      <c r="B24" s="2" t="s">
        <v>226</v>
      </c>
      <c r="C24" s="2" t="s">
        <v>227</v>
      </c>
      <c r="D24" s="2" t="s">
        <v>119</v>
      </c>
      <c r="E24" s="2" t="s">
        <v>221</v>
      </c>
      <c r="F24" s="2" t="n">
        <v>64</v>
      </c>
      <c r="G24" s="2" t="n">
        <v>104</v>
      </c>
      <c r="H24" s="2" t="n">
        <v>184</v>
      </c>
      <c r="I24" s="4" t="n">
        <f aca="false">(F24+4*G24+H24)/6</f>
        <v>110.666666666667</v>
      </c>
      <c r="J24" s="4" t="n">
        <f aca="false">(H24-F24)/6</f>
        <v>20</v>
      </c>
      <c r="K24" s="4" t="n">
        <f aca="false">J24^2</f>
        <v>400</v>
      </c>
    </row>
    <row r="25" customFormat="false" ht="15" hidden="false" customHeight="false" outlineLevel="0" collapsed="false">
      <c r="A25" s="3" t="s">
        <v>228</v>
      </c>
      <c r="B25" s="3" t="s">
        <v>229</v>
      </c>
      <c r="C25" s="3" t="s">
        <v>230</v>
      </c>
      <c r="D25" s="3" t="s">
        <v>124</v>
      </c>
      <c r="E25" s="3" t="s">
        <v>225</v>
      </c>
      <c r="F25" s="3" t="n">
        <v>32</v>
      </c>
      <c r="G25" s="3" t="n">
        <v>48</v>
      </c>
      <c r="H25" s="3" t="n">
        <v>88</v>
      </c>
      <c r="I25" s="5" t="n">
        <f aca="false">(F25+4*G25+H25)/6</f>
        <v>52</v>
      </c>
      <c r="J25" s="5" t="n">
        <f aca="false">(H25-F25)/6</f>
        <v>9.33333333333333</v>
      </c>
      <c r="K25" s="5" t="n">
        <f aca="false">J25^2</f>
        <v>87.1111111111111</v>
      </c>
    </row>
    <row r="26" customFormat="false" ht="15" hidden="false" customHeight="false" outlineLevel="0" collapsed="false">
      <c r="A26" s="2" t="s">
        <v>231</v>
      </c>
      <c r="B26" s="2" t="s">
        <v>232</v>
      </c>
      <c r="C26" s="2" t="s">
        <v>233</v>
      </c>
      <c r="D26" s="2" t="s">
        <v>115</v>
      </c>
      <c r="E26" s="2" t="s">
        <v>209</v>
      </c>
      <c r="F26" s="2" t="n">
        <v>40</v>
      </c>
      <c r="G26" s="2" t="n">
        <v>64</v>
      </c>
      <c r="H26" s="2" t="n">
        <v>112</v>
      </c>
      <c r="I26" s="4" t="n">
        <f aca="false">(F26+4*G26+H26)/6</f>
        <v>68</v>
      </c>
      <c r="J26" s="4" t="n">
        <f aca="false">(H26-F26)/6</f>
        <v>12</v>
      </c>
      <c r="K26" s="4" t="n">
        <f aca="false">J26^2</f>
        <v>144</v>
      </c>
    </row>
    <row r="27" customFormat="false" ht="15" hidden="false" customHeight="false" outlineLevel="0" collapsed="false">
      <c r="A27" s="3" t="s">
        <v>234</v>
      </c>
      <c r="B27" s="3" t="s">
        <v>235</v>
      </c>
      <c r="C27" s="3" t="s">
        <v>236</v>
      </c>
      <c r="D27" s="3" t="s">
        <v>128</v>
      </c>
      <c r="E27" s="3" t="s">
        <v>237</v>
      </c>
      <c r="F27" s="3" t="n">
        <v>40</v>
      </c>
      <c r="G27" s="3" t="n">
        <v>64</v>
      </c>
      <c r="H27" s="3" t="n">
        <v>104</v>
      </c>
      <c r="I27" s="5" t="n">
        <f aca="false">(F27+4*G27+H27)/6</f>
        <v>66.6666666666667</v>
      </c>
      <c r="J27" s="5" t="n">
        <f aca="false">(H27-F27)/6</f>
        <v>10.6666666666667</v>
      </c>
      <c r="K27" s="5" t="n">
        <f aca="false">J27^2</f>
        <v>113.777777777778</v>
      </c>
    </row>
    <row r="28" customFormat="false" ht="15" hidden="false" customHeight="false" outlineLevel="0" collapsed="false">
      <c r="A28" s="2" t="s">
        <v>238</v>
      </c>
      <c r="B28" s="2" t="s">
        <v>239</v>
      </c>
      <c r="C28" s="2" t="s">
        <v>240</v>
      </c>
      <c r="D28" s="2" t="s">
        <v>150</v>
      </c>
      <c r="E28" s="2" t="s">
        <v>241</v>
      </c>
      <c r="F28" s="2" t="n">
        <v>32</v>
      </c>
      <c r="G28" s="2" t="n">
        <v>56</v>
      </c>
      <c r="H28" s="2" t="n">
        <v>96</v>
      </c>
      <c r="I28" s="4" t="n">
        <f aca="false">(F28+4*G28+H28)/6</f>
        <v>58.6666666666667</v>
      </c>
      <c r="J28" s="4" t="n">
        <f aca="false">(H28-F28)/6</f>
        <v>10.6666666666667</v>
      </c>
      <c r="K28" s="4" t="n">
        <f aca="false">J28^2</f>
        <v>113.777777777778</v>
      </c>
    </row>
    <row r="29" customFormat="false" ht="15" hidden="false" customHeight="false" outlineLevel="0" collapsed="false">
      <c r="A29" s="3" t="s">
        <v>242</v>
      </c>
      <c r="B29" s="3" t="s">
        <v>243</v>
      </c>
      <c r="C29" s="3" t="s">
        <v>244</v>
      </c>
      <c r="D29" s="3" t="s">
        <v>150</v>
      </c>
      <c r="E29" s="3" t="s">
        <v>245</v>
      </c>
      <c r="F29" s="3" t="n">
        <v>40</v>
      </c>
      <c r="G29" s="3" t="n">
        <v>72</v>
      </c>
      <c r="H29" s="3" t="n">
        <v>128</v>
      </c>
      <c r="I29" s="5" t="n">
        <f aca="false">(F29+4*G29+H29)/6</f>
        <v>76</v>
      </c>
      <c r="J29" s="5" t="n">
        <f aca="false">(H29-F29)/6</f>
        <v>14.6666666666667</v>
      </c>
      <c r="K29" s="5" t="n">
        <f aca="false">J29^2</f>
        <v>215.111111111111</v>
      </c>
    </row>
    <row r="30" customFormat="false" ht="15" hidden="false" customHeight="false" outlineLevel="0" collapsed="false">
      <c r="A30" s="2" t="s">
        <v>246</v>
      </c>
      <c r="B30" s="2" t="s">
        <v>247</v>
      </c>
      <c r="C30" s="2" t="s">
        <v>248</v>
      </c>
      <c r="D30" s="2" t="s">
        <v>150</v>
      </c>
      <c r="E30" s="2" t="s">
        <v>249</v>
      </c>
      <c r="F30" s="2" t="n">
        <v>64</v>
      </c>
      <c r="G30" s="2" t="n">
        <v>104</v>
      </c>
      <c r="H30" s="2" t="n">
        <v>176</v>
      </c>
      <c r="I30" s="4" t="n">
        <f aca="false">(F30+4*G30+H30)/6</f>
        <v>109.333333333333</v>
      </c>
      <c r="J30" s="4" t="n">
        <f aca="false">(H30-F30)/6</f>
        <v>18.6666666666667</v>
      </c>
      <c r="K30" s="4" t="n">
        <f aca="false">J30^2</f>
        <v>348.444444444445</v>
      </c>
    </row>
    <row r="31" customFormat="false" ht="15" hidden="false" customHeight="false" outlineLevel="0" collapsed="false">
      <c r="A31" s="3" t="s">
        <v>250</v>
      </c>
      <c r="B31" s="3" t="s">
        <v>251</v>
      </c>
      <c r="C31" s="3" t="s">
        <v>252</v>
      </c>
      <c r="D31" s="3" t="s">
        <v>150</v>
      </c>
      <c r="E31" s="3" t="s">
        <v>246</v>
      </c>
      <c r="F31" s="3" t="n">
        <v>40</v>
      </c>
      <c r="G31" s="3" t="n">
        <v>64</v>
      </c>
      <c r="H31" s="3" t="n">
        <v>112</v>
      </c>
      <c r="I31" s="5" t="n">
        <f aca="false">(F31+4*G31+H31)/6</f>
        <v>68</v>
      </c>
      <c r="J31" s="5" t="n">
        <f aca="false">(H31-F31)/6</f>
        <v>12</v>
      </c>
      <c r="K31" s="5" t="n">
        <f aca="false">J31^2</f>
        <v>144</v>
      </c>
    </row>
    <row r="32" customFormat="false" ht="23.85" hidden="false" customHeight="false" outlineLevel="0" collapsed="false">
      <c r="A32" s="2" t="s">
        <v>253</v>
      </c>
      <c r="B32" s="2" t="s">
        <v>254</v>
      </c>
      <c r="C32" s="2" t="s">
        <v>255</v>
      </c>
      <c r="D32" s="2" t="s">
        <v>150</v>
      </c>
      <c r="E32" s="2" t="s">
        <v>256</v>
      </c>
      <c r="F32" s="2" t="n">
        <v>32</v>
      </c>
      <c r="G32" s="2" t="n">
        <v>48</v>
      </c>
      <c r="H32" s="2" t="n">
        <v>80</v>
      </c>
      <c r="I32" s="4" t="n">
        <f aca="false">(F32+4*G32+H32)/6</f>
        <v>50.6666666666667</v>
      </c>
      <c r="J32" s="4" t="n">
        <f aca="false">(H32-F32)/6</f>
        <v>8</v>
      </c>
      <c r="K32" s="4" t="n">
        <f aca="false">J32^2</f>
        <v>64</v>
      </c>
    </row>
    <row r="33" customFormat="false" ht="15" hidden="false" customHeight="false" outlineLevel="0" collapsed="false">
      <c r="A33" s="3" t="s">
        <v>257</v>
      </c>
      <c r="B33" s="3" t="s">
        <v>258</v>
      </c>
      <c r="C33" s="3" t="s">
        <v>259</v>
      </c>
      <c r="D33" s="3" t="s">
        <v>150</v>
      </c>
      <c r="E33" s="3" t="s">
        <v>260</v>
      </c>
      <c r="F33" s="3" t="n">
        <v>32</v>
      </c>
      <c r="G33" s="3" t="n">
        <v>48</v>
      </c>
      <c r="H33" s="3" t="n">
        <v>88</v>
      </c>
      <c r="I33" s="5" t="n">
        <f aca="false">(F33+4*G33+H33)/6</f>
        <v>52</v>
      </c>
      <c r="J33" s="5" t="n">
        <f aca="false">(H33-F33)/6</f>
        <v>9.33333333333333</v>
      </c>
      <c r="K33" s="5" t="n">
        <f aca="false">J33^2</f>
        <v>87.1111111111111</v>
      </c>
    </row>
    <row r="34" customFormat="false" ht="15" hidden="false" customHeight="false" outlineLevel="0" collapsed="false">
      <c r="A34" s="0" t="s">
        <v>261</v>
      </c>
      <c r="F34" s="0" t="n">
        <f aca="false">SUM(F2:F33)</f>
        <v>1432</v>
      </c>
      <c r="G34" s="0" t="n">
        <f aca="false">SUM(G2:G33)</f>
        <v>2304</v>
      </c>
      <c r="H34" s="0" t="n">
        <f aca="false">SUM(H2:H33)</f>
        <v>3920</v>
      </c>
      <c r="I34" s="0" t="n">
        <f aca="false">SUM(I2:I33)</f>
        <v>2428</v>
      </c>
      <c r="J34" s="0" t="n">
        <f aca="false">SQRT(SUM(K2:K33))</f>
        <v>78.1451640644939</v>
      </c>
      <c r="K34" s="0" t="n">
        <f aca="false">SUM(K2:K33)</f>
        <v>6106.66666666667</v>
      </c>
    </row>
  </sheetData>
  <autoFilter ref="A1:K33"/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2"/>
    <col collapsed="false" customWidth="true" hidden="false" outlineLevel="0" max="9" min="3" style="0" width="14"/>
  </cols>
  <sheetData>
    <row r="1" customFormat="false" ht="15" hidden="false" customHeight="false" outlineLevel="0" collapsed="false">
      <c r="A1" s="1" t="s">
        <v>29</v>
      </c>
      <c r="B1" s="1" t="s">
        <v>137</v>
      </c>
      <c r="C1" s="1" t="s">
        <v>262</v>
      </c>
      <c r="D1" s="1" t="s">
        <v>263</v>
      </c>
      <c r="E1" s="1" t="s">
        <v>264</v>
      </c>
      <c r="F1" s="1" t="s">
        <v>265</v>
      </c>
      <c r="G1" s="1" t="s">
        <v>266</v>
      </c>
      <c r="H1" s="1" t="s">
        <v>267</v>
      </c>
      <c r="I1" s="1" t="s">
        <v>268</v>
      </c>
    </row>
    <row r="2" customFormat="false" ht="15" hidden="false" customHeight="false" outlineLevel="0" collapsed="false">
      <c r="A2" s="2" t="s">
        <v>147</v>
      </c>
      <c r="B2" s="2" t="s">
        <v>148</v>
      </c>
      <c r="C2" s="4" t="n">
        <f aca="false">Работы!I2</f>
        <v>42.6666666666667</v>
      </c>
      <c r="D2" s="4" t="n">
        <f aca="false">0</f>
        <v>0</v>
      </c>
      <c r="E2" s="4" t="n">
        <f aca="false">D2+C2</f>
        <v>42.6666666666667</v>
      </c>
      <c r="F2" s="4" t="n">
        <f aca="false">G2-C2</f>
        <v>0</v>
      </c>
      <c r="G2" s="4" t="n">
        <f aca="false">MIN(F3,F4)</f>
        <v>42.6666666666667</v>
      </c>
      <c r="H2" s="4" t="n">
        <f aca="false">F2-D2</f>
        <v>0</v>
      </c>
      <c r="I2" s="4" t="n">
        <f aca="false">IF(ABS(H2)&lt;0.000001,1,0)</f>
        <v>1</v>
      </c>
    </row>
    <row r="3" customFormat="false" ht="15" hidden="false" customHeight="false" outlineLevel="0" collapsed="false">
      <c r="A3" s="3" t="s">
        <v>151</v>
      </c>
      <c r="B3" s="3" t="s">
        <v>152</v>
      </c>
      <c r="C3" s="5" t="n">
        <f aca="false">Работы!I3</f>
        <v>58.6666666666667</v>
      </c>
      <c r="D3" s="5" t="n">
        <f aca="false">MAX(E2)</f>
        <v>42.6666666666667</v>
      </c>
      <c r="E3" s="5" t="n">
        <f aca="false">D3+C3</f>
        <v>101.333333333333</v>
      </c>
      <c r="F3" s="5" t="n">
        <f aca="false">G3-C3</f>
        <v>42.6666666666667</v>
      </c>
      <c r="G3" s="5" t="n">
        <f aca="false">MIN(F5)</f>
        <v>101.333333333333</v>
      </c>
      <c r="H3" s="5" t="n">
        <f aca="false">F3-D3</f>
        <v>0</v>
      </c>
      <c r="I3" s="5" t="n">
        <f aca="false">IF(ABS(H3)&lt;0.000001,1,0)</f>
        <v>1</v>
      </c>
    </row>
    <row r="4" customFormat="false" ht="15" hidden="false" customHeight="false" outlineLevel="0" collapsed="false">
      <c r="A4" s="2" t="s">
        <v>154</v>
      </c>
      <c r="B4" s="2" t="s">
        <v>155</v>
      </c>
      <c r="C4" s="4" t="n">
        <f aca="false">Работы!I4</f>
        <v>82.6666666666667</v>
      </c>
      <c r="D4" s="4" t="n">
        <f aca="false">MAX(E2)</f>
        <v>42.6666666666667</v>
      </c>
      <c r="E4" s="4" t="n">
        <f aca="false">D4+C4</f>
        <v>125.333333333333</v>
      </c>
      <c r="F4" s="4" t="n">
        <f aca="false">G4-C4</f>
        <v>161.333333333333</v>
      </c>
      <c r="G4" s="4" t="n">
        <f aca="false">MIN(F7,F8,F12,F14)</f>
        <v>244</v>
      </c>
      <c r="H4" s="4" t="n">
        <f aca="false">F4-D4</f>
        <v>118.666666666667</v>
      </c>
      <c r="I4" s="4" t="n">
        <f aca="false">IF(ABS(H4)&lt;0.000001,1,0)</f>
        <v>0</v>
      </c>
    </row>
    <row r="5" customFormat="false" ht="15" hidden="false" customHeight="false" outlineLevel="0" collapsed="false">
      <c r="A5" s="3" t="s">
        <v>157</v>
      </c>
      <c r="B5" s="3" t="s">
        <v>158</v>
      </c>
      <c r="C5" s="5" t="n">
        <f aca="false">Работы!I5</f>
        <v>50.6666666666667</v>
      </c>
      <c r="D5" s="5" t="n">
        <f aca="false">MAX(E3)</f>
        <v>101.333333333333</v>
      </c>
      <c r="E5" s="5" t="n">
        <f aca="false">D5+C5</f>
        <v>152</v>
      </c>
      <c r="F5" s="5" t="n">
        <f aca="false">G5-C5</f>
        <v>101.333333333333</v>
      </c>
      <c r="G5" s="5" t="n">
        <f aca="false">MIN(F6)</f>
        <v>152</v>
      </c>
      <c r="H5" s="5" t="n">
        <f aca="false">F5-D5</f>
        <v>0</v>
      </c>
      <c r="I5" s="5" t="n">
        <f aca="false">IF(ABS(H5)&lt;0.000001,1,0)</f>
        <v>1</v>
      </c>
    </row>
    <row r="6" customFormat="false" ht="15" hidden="false" customHeight="false" outlineLevel="0" collapsed="false">
      <c r="A6" s="2" t="s">
        <v>160</v>
      </c>
      <c r="B6" s="2" t="s">
        <v>161</v>
      </c>
      <c r="C6" s="4" t="n">
        <f aca="false">Работы!I6</f>
        <v>92</v>
      </c>
      <c r="D6" s="4" t="n">
        <f aca="false">MAX(E5)</f>
        <v>152</v>
      </c>
      <c r="E6" s="4" t="n">
        <f aca="false">D6+C6</f>
        <v>244</v>
      </c>
      <c r="F6" s="4" t="n">
        <f aca="false">G6-C6</f>
        <v>152</v>
      </c>
      <c r="G6" s="4" t="n">
        <f aca="false">MIN(F7,F8,F14)</f>
        <v>244</v>
      </c>
      <c r="H6" s="4" t="n">
        <f aca="false">F6-D6</f>
        <v>0</v>
      </c>
      <c r="I6" s="4" t="n">
        <f aca="false">IF(ABS(H6)&lt;0.000001,1,0)</f>
        <v>1</v>
      </c>
    </row>
    <row r="7" customFormat="false" ht="15" hidden="false" customHeight="false" outlineLevel="0" collapsed="false">
      <c r="A7" s="3" t="s">
        <v>164</v>
      </c>
      <c r="B7" s="3" t="s">
        <v>165</v>
      </c>
      <c r="C7" s="5" t="n">
        <f aca="false">Работы!I7</f>
        <v>41.3333333333333</v>
      </c>
      <c r="D7" s="5" t="n">
        <f aca="false">MAX(E6,E4)</f>
        <v>244</v>
      </c>
      <c r="E7" s="5" t="n">
        <f aca="false">D7+C7</f>
        <v>285.333333333333</v>
      </c>
      <c r="F7" s="5" t="n">
        <f aca="false">G7-C7</f>
        <v>837.333333333333</v>
      </c>
      <c r="G7" s="5" t="n">
        <f aca="false">MIN(F23)</f>
        <v>878.666666666667</v>
      </c>
      <c r="H7" s="5" t="n">
        <f aca="false">F7-D7</f>
        <v>593.333333333333</v>
      </c>
      <c r="I7" s="5" t="n">
        <f aca="false">IF(ABS(H7)&lt;0.000001,1,0)</f>
        <v>0</v>
      </c>
    </row>
    <row r="8" customFormat="false" ht="15" hidden="false" customHeight="false" outlineLevel="0" collapsed="false">
      <c r="A8" s="2" t="s">
        <v>168</v>
      </c>
      <c r="B8" s="2" t="s">
        <v>169</v>
      </c>
      <c r="C8" s="4" t="n">
        <f aca="false">Работы!I8</f>
        <v>101.333333333333</v>
      </c>
      <c r="D8" s="4" t="n">
        <f aca="false">MAX(E6,E4)</f>
        <v>244</v>
      </c>
      <c r="E8" s="4" t="n">
        <f aca="false">D8+C8</f>
        <v>345.333333333333</v>
      </c>
      <c r="F8" s="4" t="n">
        <f aca="false">G8-C8</f>
        <v>244</v>
      </c>
      <c r="G8" s="4" t="n">
        <f aca="false">MIN(F9,F12,F14,F23,F27)</f>
        <v>345.333333333333</v>
      </c>
      <c r="H8" s="4" t="n">
        <f aca="false">F8-D8</f>
        <v>0</v>
      </c>
      <c r="I8" s="4" t="n">
        <f aca="false">IF(ABS(H8)&lt;0.000001,1,0)</f>
        <v>1</v>
      </c>
    </row>
    <row r="9" customFormat="false" ht="15" hidden="false" customHeight="false" outlineLevel="0" collapsed="false">
      <c r="A9" s="3" t="s">
        <v>172</v>
      </c>
      <c r="B9" s="3" t="s">
        <v>173</v>
      </c>
      <c r="C9" s="5" t="n">
        <f aca="false">Работы!I9</f>
        <v>126.666666666667</v>
      </c>
      <c r="D9" s="5" t="n">
        <f aca="false">MAX(E8)</f>
        <v>345.333333333333</v>
      </c>
      <c r="E9" s="5" t="n">
        <f aca="false">D9+C9</f>
        <v>472</v>
      </c>
      <c r="F9" s="5" t="n">
        <f aca="false">G9-C9</f>
        <v>345.333333333333</v>
      </c>
      <c r="G9" s="5" t="n">
        <f aca="false">MIN(F10,F13,F15)</f>
        <v>472</v>
      </c>
      <c r="H9" s="5" t="n">
        <f aca="false">F9-D9</f>
        <v>0</v>
      </c>
      <c r="I9" s="5" t="n">
        <f aca="false">IF(ABS(H9)&lt;0.000001,1,0)</f>
        <v>1</v>
      </c>
    </row>
    <row r="10" customFormat="false" ht="15" hidden="false" customHeight="false" outlineLevel="0" collapsed="false">
      <c r="A10" s="2" t="s">
        <v>175</v>
      </c>
      <c r="B10" s="2" t="s">
        <v>176</v>
      </c>
      <c r="C10" s="4" t="n">
        <f aca="false">Работы!I10</f>
        <v>84</v>
      </c>
      <c r="D10" s="4" t="n">
        <f aca="false">MAX(E9)</f>
        <v>472</v>
      </c>
      <c r="E10" s="4" t="n">
        <f aca="false">D10+C10</f>
        <v>556</v>
      </c>
      <c r="F10" s="4" t="n">
        <f aca="false">G10-C10</f>
        <v>472</v>
      </c>
      <c r="G10" s="4" t="n">
        <f aca="false">MIN(F11,F16)</f>
        <v>556</v>
      </c>
      <c r="H10" s="4" t="n">
        <f aca="false">F10-D10</f>
        <v>0</v>
      </c>
      <c r="I10" s="4" t="n">
        <f aca="false">IF(ABS(H10)&lt;0.000001,1,0)</f>
        <v>1</v>
      </c>
    </row>
    <row r="11" customFormat="false" ht="15" hidden="false" customHeight="false" outlineLevel="0" collapsed="false">
      <c r="A11" s="3" t="s">
        <v>178</v>
      </c>
      <c r="B11" s="3" t="s">
        <v>179</v>
      </c>
      <c r="C11" s="5" t="n">
        <f aca="false">Работы!I11</f>
        <v>169.333333333333</v>
      </c>
      <c r="D11" s="5" t="n">
        <f aca="false">MAX(E10)</f>
        <v>556</v>
      </c>
      <c r="E11" s="5" t="n">
        <f aca="false">D11+C11</f>
        <v>725.333333333333</v>
      </c>
      <c r="F11" s="5" t="n">
        <f aca="false">G11-C11</f>
        <v>556</v>
      </c>
      <c r="G11" s="5" t="n">
        <f aca="false">MIN(F17,F29)</f>
        <v>725.333333333333</v>
      </c>
      <c r="H11" s="5" t="n">
        <f aca="false">F11-D11</f>
        <v>0</v>
      </c>
      <c r="I11" s="5" t="n">
        <f aca="false">IF(ABS(H11)&lt;0.000001,1,0)</f>
        <v>1</v>
      </c>
    </row>
    <row r="12" customFormat="false" ht="15" hidden="false" customHeight="false" outlineLevel="0" collapsed="false">
      <c r="A12" s="2" t="s">
        <v>182</v>
      </c>
      <c r="B12" s="2" t="s">
        <v>183</v>
      </c>
      <c r="C12" s="4" t="n">
        <f aca="false">Работы!I12</f>
        <v>92</v>
      </c>
      <c r="D12" s="4" t="n">
        <f aca="false">MAX(E8,E4)</f>
        <v>345.333333333333</v>
      </c>
      <c r="E12" s="4" t="n">
        <f aca="false">D12+C12</f>
        <v>437.333333333333</v>
      </c>
      <c r="F12" s="4" t="n">
        <f aca="false">G12-C12</f>
        <v>641.333333333334</v>
      </c>
      <c r="G12" s="4" t="n">
        <f aca="false">MIN(F13)</f>
        <v>733.333333333334</v>
      </c>
      <c r="H12" s="4" t="n">
        <f aca="false">F12-D12</f>
        <v>296</v>
      </c>
      <c r="I12" s="4" t="n">
        <f aca="false">IF(ABS(H12)&lt;0.000001,1,0)</f>
        <v>0</v>
      </c>
    </row>
    <row r="13" customFormat="false" ht="15" hidden="false" customHeight="false" outlineLevel="0" collapsed="false">
      <c r="A13" s="3" t="s">
        <v>186</v>
      </c>
      <c r="B13" s="3" t="s">
        <v>53</v>
      </c>
      <c r="C13" s="5" t="n">
        <f aca="false">Работы!I13</f>
        <v>50.6666666666667</v>
      </c>
      <c r="D13" s="5" t="n">
        <f aca="false">MAX(E9,E12)</f>
        <v>472</v>
      </c>
      <c r="E13" s="5" t="n">
        <f aca="false">D13+C13</f>
        <v>522.666666666667</v>
      </c>
      <c r="F13" s="5" t="n">
        <f aca="false">G13-C13</f>
        <v>733.333333333334</v>
      </c>
      <c r="G13" s="5" t="n">
        <f aca="false">MIN(F22,F24)</f>
        <v>784</v>
      </c>
      <c r="H13" s="5" t="n">
        <f aca="false">F13-D13</f>
        <v>261.333333333334</v>
      </c>
      <c r="I13" s="5" t="n">
        <f aca="false">IF(ABS(H13)&lt;0.000001,1,0)</f>
        <v>0</v>
      </c>
    </row>
    <row r="14" customFormat="false" ht="15" hidden="false" customHeight="false" outlineLevel="0" collapsed="false">
      <c r="A14" s="2" t="s">
        <v>189</v>
      </c>
      <c r="B14" s="2" t="s">
        <v>190</v>
      </c>
      <c r="C14" s="4" t="n">
        <f aca="false">Работы!I14</f>
        <v>66.6666666666667</v>
      </c>
      <c r="D14" s="4" t="n">
        <f aca="false">MAX(E6,E8,E4)</f>
        <v>345.333333333333</v>
      </c>
      <c r="E14" s="4" t="n">
        <f aca="false">D14+C14</f>
        <v>412</v>
      </c>
      <c r="F14" s="4" t="n">
        <f aca="false">G14-C14</f>
        <v>484</v>
      </c>
      <c r="G14" s="4" t="n">
        <f aca="false">MIN(F15,F22,F24)</f>
        <v>550.666666666667</v>
      </c>
      <c r="H14" s="4" t="n">
        <f aca="false">F14-D14</f>
        <v>138.666666666667</v>
      </c>
      <c r="I14" s="4" t="n">
        <f aca="false">IF(ABS(H14)&lt;0.000001,1,0)</f>
        <v>0</v>
      </c>
    </row>
    <row r="15" customFormat="false" ht="15" hidden="false" customHeight="false" outlineLevel="0" collapsed="false">
      <c r="A15" s="3" t="s">
        <v>194</v>
      </c>
      <c r="B15" s="3" t="s">
        <v>195</v>
      </c>
      <c r="C15" s="5" t="n">
        <f aca="false">Работы!I15</f>
        <v>109.333333333333</v>
      </c>
      <c r="D15" s="5" t="n">
        <f aca="false">MAX(E9,E14)</f>
        <v>472</v>
      </c>
      <c r="E15" s="5" t="n">
        <f aca="false">D15+C15</f>
        <v>581.333333333333</v>
      </c>
      <c r="F15" s="5" t="n">
        <f aca="false">G15-C15</f>
        <v>550.666666666667</v>
      </c>
      <c r="G15" s="5" t="n">
        <f aca="false">MIN(F16,F17,F21)</f>
        <v>660</v>
      </c>
      <c r="H15" s="5" t="n">
        <f aca="false">F15-D15</f>
        <v>78.6666666666667</v>
      </c>
      <c r="I15" s="5" t="n">
        <f aca="false">IF(ABS(H15)&lt;0.000001,1,0)</f>
        <v>0</v>
      </c>
    </row>
    <row r="16" customFormat="false" ht="15" hidden="false" customHeight="false" outlineLevel="0" collapsed="false">
      <c r="A16" s="2" t="s">
        <v>198</v>
      </c>
      <c r="B16" s="2" t="s">
        <v>199</v>
      </c>
      <c r="C16" s="4" t="n">
        <f aca="false">Работы!I16</f>
        <v>82.6666666666667</v>
      </c>
      <c r="D16" s="4" t="n">
        <f aca="false">MAX(E10,E15)</f>
        <v>581.333333333333</v>
      </c>
      <c r="E16" s="4" t="n">
        <f aca="false">D16+C16</f>
        <v>664</v>
      </c>
      <c r="F16" s="4" t="n">
        <f aca="false">G16-C16</f>
        <v>660</v>
      </c>
      <c r="G16" s="4" t="n">
        <f aca="false">MIN(F18,F19)</f>
        <v>742.666666666667</v>
      </c>
      <c r="H16" s="4" t="n">
        <f aca="false">F16-D16</f>
        <v>78.6666666666667</v>
      </c>
      <c r="I16" s="4" t="n">
        <f aca="false">IF(ABS(H16)&lt;0.000001,1,0)</f>
        <v>0</v>
      </c>
    </row>
    <row r="17" customFormat="false" ht="15" hidden="false" customHeight="false" outlineLevel="0" collapsed="false">
      <c r="A17" s="3" t="s">
        <v>202</v>
      </c>
      <c r="B17" s="3" t="s">
        <v>203</v>
      </c>
      <c r="C17" s="5" t="n">
        <f aca="false">Работы!I17</f>
        <v>85.3333333333333</v>
      </c>
      <c r="D17" s="5" t="n">
        <f aca="false">MAX(E11,E15)</f>
        <v>725.333333333333</v>
      </c>
      <c r="E17" s="5" t="n">
        <f aca="false">D17+C17</f>
        <v>810.666666666667</v>
      </c>
      <c r="F17" s="5" t="n">
        <f aca="false">G17-C17</f>
        <v>725.333333333333</v>
      </c>
      <c r="G17" s="5" t="n">
        <f aca="false">MIN(F19)</f>
        <v>810.666666666667</v>
      </c>
      <c r="H17" s="5" t="n">
        <f aca="false">F17-D17</f>
        <v>0</v>
      </c>
      <c r="I17" s="5" t="n">
        <f aca="false">IF(ABS(H17)&lt;0.000001,1,0)</f>
        <v>1</v>
      </c>
    </row>
    <row r="18" customFormat="false" ht="15" hidden="false" customHeight="false" outlineLevel="0" collapsed="false">
      <c r="A18" s="2" t="s">
        <v>206</v>
      </c>
      <c r="B18" s="2" t="s">
        <v>207</v>
      </c>
      <c r="C18" s="4" t="n">
        <f aca="false">Работы!I18</f>
        <v>68</v>
      </c>
      <c r="D18" s="4" t="n">
        <f aca="false">MAX(E16)</f>
        <v>664</v>
      </c>
      <c r="E18" s="4" t="n">
        <f aca="false">D18+C18</f>
        <v>732</v>
      </c>
      <c r="F18" s="4" t="n">
        <f aca="false">G18-C18</f>
        <v>742.666666666667</v>
      </c>
      <c r="G18" s="4" t="n">
        <f aca="false">MIN(F19)</f>
        <v>810.666666666667</v>
      </c>
      <c r="H18" s="4" t="n">
        <f aca="false">F18-D18</f>
        <v>78.6666666666667</v>
      </c>
      <c r="I18" s="4" t="n">
        <f aca="false">IF(ABS(H18)&lt;0.000001,1,0)</f>
        <v>0</v>
      </c>
    </row>
    <row r="19" customFormat="false" ht="15" hidden="false" customHeight="false" outlineLevel="0" collapsed="false">
      <c r="A19" s="3" t="s">
        <v>209</v>
      </c>
      <c r="B19" s="3" t="s">
        <v>210</v>
      </c>
      <c r="C19" s="5" t="n">
        <f aca="false">Работы!I19</f>
        <v>68</v>
      </c>
      <c r="D19" s="5" t="n">
        <f aca="false">MAX(E16,E17,E18)</f>
        <v>810.666666666667</v>
      </c>
      <c r="E19" s="5" t="n">
        <f aca="false">D19+C19</f>
        <v>878.666666666667</v>
      </c>
      <c r="F19" s="5" t="n">
        <f aca="false">G19-C19</f>
        <v>810.666666666667</v>
      </c>
      <c r="G19" s="5" t="n">
        <f aca="false">MIN(F20,F26)</f>
        <v>878.666666666667</v>
      </c>
      <c r="H19" s="5" t="n">
        <f aca="false">F19-D19</f>
        <v>0</v>
      </c>
      <c r="I19" s="5" t="n">
        <f aca="false">IF(ABS(H19)&lt;0.000001,1,0)</f>
        <v>1</v>
      </c>
    </row>
    <row r="20" customFormat="false" ht="15" hidden="false" customHeight="false" outlineLevel="0" collapsed="false">
      <c r="A20" s="2" t="s">
        <v>213</v>
      </c>
      <c r="B20" s="2" t="s">
        <v>214</v>
      </c>
      <c r="C20" s="4" t="n">
        <f aca="false">Работы!I20</f>
        <v>58.6666666666667</v>
      </c>
      <c r="D20" s="4" t="n">
        <f aca="false">MAX(E19)</f>
        <v>878.666666666667</v>
      </c>
      <c r="E20" s="4" t="n">
        <f aca="false">D20+C20</f>
        <v>937.333333333333</v>
      </c>
      <c r="F20" s="4" t="n">
        <f aca="false">G20-C20</f>
        <v>888</v>
      </c>
      <c r="G20" s="4" t="n">
        <f aca="false">MIN(F28)</f>
        <v>946.666666666667</v>
      </c>
      <c r="H20" s="4" t="n">
        <f aca="false">F20-D20</f>
        <v>9.33333333333337</v>
      </c>
      <c r="I20" s="4" t="n">
        <f aca="false">IF(ABS(H20)&lt;0.000001,1,0)</f>
        <v>0</v>
      </c>
    </row>
    <row r="21" customFormat="false" ht="15" hidden="false" customHeight="false" outlineLevel="0" collapsed="false">
      <c r="A21" s="3" t="s">
        <v>216</v>
      </c>
      <c r="B21" s="3" t="s">
        <v>83</v>
      </c>
      <c r="C21" s="5" t="n">
        <f aca="false">Работы!I21</f>
        <v>66.6666666666667</v>
      </c>
      <c r="D21" s="5" t="n">
        <f aca="false">MAX(E15)</f>
        <v>581.333333333333</v>
      </c>
      <c r="E21" s="5" t="n">
        <f aca="false">D21+C21</f>
        <v>648</v>
      </c>
      <c r="F21" s="5" t="n">
        <f aca="false">G21-C21</f>
        <v>796</v>
      </c>
      <c r="G21" s="5" t="n">
        <f aca="false">MIN(F27)</f>
        <v>862.666666666667</v>
      </c>
      <c r="H21" s="5" t="n">
        <f aca="false">F21-D21</f>
        <v>214.666666666667</v>
      </c>
      <c r="I21" s="5" t="n">
        <f aca="false">IF(ABS(H21)&lt;0.000001,1,0)</f>
        <v>0</v>
      </c>
    </row>
    <row r="22" customFormat="false" ht="15" hidden="false" customHeight="false" outlineLevel="0" collapsed="false">
      <c r="A22" s="2" t="s">
        <v>218</v>
      </c>
      <c r="B22" s="2" t="s">
        <v>219</v>
      </c>
      <c r="C22" s="4" t="n">
        <f aca="false">Работы!I22</f>
        <v>50.6666666666667</v>
      </c>
      <c r="D22" s="4" t="n">
        <f aca="false">MAX(E13,E14)</f>
        <v>522.666666666667</v>
      </c>
      <c r="E22" s="4" t="n">
        <f aca="false">D22+C22</f>
        <v>573.333333333333</v>
      </c>
      <c r="F22" s="4" t="n">
        <f aca="false">G22-C22</f>
        <v>812</v>
      </c>
      <c r="G22" s="4" t="n">
        <f aca="false">MIN(F27)</f>
        <v>862.666666666667</v>
      </c>
      <c r="H22" s="4" t="n">
        <f aca="false">F22-D22</f>
        <v>289.333333333334</v>
      </c>
      <c r="I22" s="4" t="n">
        <f aca="false">IF(ABS(H22)&lt;0.000001,1,0)</f>
        <v>0</v>
      </c>
    </row>
    <row r="23" customFormat="false" ht="15" hidden="false" customHeight="false" outlineLevel="0" collapsed="false">
      <c r="A23" s="3" t="s">
        <v>222</v>
      </c>
      <c r="B23" s="3" t="s">
        <v>91</v>
      </c>
      <c r="C23" s="5" t="n">
        <f aca="false">Работы!I23</f>
        <v>68</v>
      </c>
      <c r="D23" s="5" t="n">
        <f aca="false">MAX(E7,E8)</f>
        <v>345.333333333333</v>
      </c>
      <c r="E23" s="5" t="n">
        <f aca="false">D23+C23</f>
        <v>413.333333333333</v>
      </c>
      <c r="F23" s="5" t="n">
        <f aca="false">G23-C23</f>
        <v>878.666666666667</v>
      </c>
      <c r="G23" s="5" t="n">
        <f aca="false">MIN(F28)</f>
        <v>946.666666666667</v>
      </c>
      <c r="H23" s="5" t="n">
        <f aca="false">F23-D23</f>
        <v>533.333333333334</v>
      </c>
      <c r="I23" s="5" t="n">
        <f aca="false">IF(ABS(H23)&lt;0.000001,1,0)</f>
        <v>0</v>
      </c>
    </row>
    <row r="24" customFormat="false" ht="15" hidden="false" customHeight="false" outlineLevel="0" collapsed="false">
      <c r="A24" s="2" t="s">
        <v>225</v>
      </c>
      <c r="B24" s="2" t="s">
        <v>226</v>
      </c>
      <c r="C24" s="4" t="n">
        <f aca="false">Работы!I24</f>
        <v>110.666666666667</v>
      </c>
      <c r="D24" s="4" t="n">
        <f aca="false">MAX(E13,E14)</f>
        <v>522.666666666667</v>
      </c>
      <c r="E24" s="4" t="n">
        <f aca="false">D24+C24</f>
        <v>633.333333333333</v>
      </c>
      <c r="F24" s="4" t="n">
        <f aca="false">G24-C24</f>
        <v>784</v>
      </c>
      <c r="G24" s="4" t="n">
        <f aca="false">MIN(F25,F29)</f>
        <v>894.666666666667</v>
      </c>
      <c r="H24" s="4" t="n">
        <f aca="false">F24-D24</f>
        <v>261.333333333334</v>
      </c>
      <c r="I24" s="4" t="n">
        <f aca="false">IF(ABS(H24)&lt;0.000001,1,0)</f>
        <v>0</v>
      </c>
    </row>
    <row r="25" customFormat="false" ht="15" hidden="false" customHeight="false" outlineLevel="0" collapsed="false">
      <c r="A25" s="3" t="s">
        <v>228</v>
      </c>
      <c r="B25" s="3" t="s">
        <v>229</v>
      </c>
      <c r="C25" s="5" t="n">
        <f aca="false">Работы!I25</f>
        <v>52</v>
      </c>
      <c r="D25" s="5" t="n">
        <f aca="false">MAX(E24)</f>
        <v>633.333333333333</v>
      </c>
      <c r="E25" s="5" t="n">
        <f aca="false">D25+C25</f>
        <v>685.333333333333</v>
      </c>
      <c r="F25" s="5" t="n">
        <f aca="false">G25-C25</f>
        <v>894.666666666667</v>
      </c>
      <c r="G25" s="5" t="n">
        <f aca="false">MIN(F28,F32)</f>
        <v>946.666666666667</v>
      </c>
      <c r="H25" s="5" t="n">
        <f aca="false">F25-D25</f>
        <v>261.333333333334</v>
      </c>
      <c r="I25" s="5" t="n">
        <f aca="false">IF(ABS(H25)&lt;0.000001,1,0)</f>
        <v>0</v>
      </c>
    </row>
    <row r="26" customFormat="false" ht="15" hidden="false" customHeight="false" outlineLevel="0" collapsed="false">
      <c r="A26" s="2" t="s">
        <v>231</v>
      </c>
      <c r="B26" s="2" t="s">
        <v>232</v>
      </c>
      <c r="C26" s="4" t="n">
        <f aca="false">Работы!I26</f>
        <v>68</v>
      </c>
      <c r="D26" s="4" t="n">
        <f aca="false">MAX(E19)</f>
        <v>878.666666666667</v>
      </c>
      <c r="E26" s="4" t="n">
        <f aca="false">D26+C26</f>
        <v>946.666666666667</v>
      </c>
      <c r="F26" s="4" t="n">
        <f aca="false">G26-C26</f>
        <v>878.666666666667</v>
      </c>
      <c r="G26" s="4" t="n">
        <f aca="false">MIN(F28,F32)</f>
        <v>946.666666666667</v>
      </c>
      <c r="H26" s="4" t="n">
        <f aca="false">F26-D26</f>
        <v>0</v>
      </c>
      <c r="I26" s="4" t="n">
        <f aca="false">IF(ABS(H26)&lt;0.000001,1,0)</f>
        <v>1</v>
      </c>
    </row>
    <row r="27" customFormat="false" ht="15" hidden="false" customHeight="false" outlineLevel="0" collapsed="false">
      <c r="A27" s="3" t="s">
        <v>234</v>
      </c>
      <c r="B27" s="3" t="s">
        <v>235</v>
      </c>
      <c r="C27" s="5" t="n">
        <f aca="false">Работы!I27</f>
        <v>66.6666666666667</v>
      </c>
      <c r="D27" s="5" t="n">
        <f aca="false">MAX(E21,E22,E8)</f>
        <v>648</v>
      </c>
      <c r="E27" s="5" t="n">
        <f aca="false">D27+C27</f>
        <v>714.666666666667</v>
      </c>
      <c r="F27" s="5" t="n">
        <f aca="false">G27-C27</f>
        <v>862.666666666667</v>
      </c>
      <c r="G27" s="5" t="n">
        <f aca="false">MIN(F28,F29,F32)</f>
        <v>929.333333333333</v>
      </c>
      <c r="H27" s="5" t="n">
        <f aca="false">F27-D27</f>
        <v>214.666666666667</v>
      </c>
      <c r="I27" s="5" t="n">
        <f aca="false">IF(ABS(H27)&lt;0.000001,1,0)</f>
        <v>0</v>
      </c>
    </row>
    <row r="28" customFormat="false" ht="15" hidden="false" customHeight="false" outlineLevel="0" collapsed="false">
      <c r="A28" s="2" t="s">
        <v>238</v>
      </c>
      <c r="B28" s="2" t="s">
        <v>239</v>
      </c>
      <c r="C28" s="4" t="n">
        <f aca="false">Работы!I28</f>
        <v>58.6666666666667</v>
      </c>
      <c r="D28" s="4" t="n">
        <f aca="false">MAX(E20,E23,E25,E26,E27)</f>
        <v>946.666666666667</v>
      </c>
      <c r="E28" s="4" t="n">
        <f aca="false">D28+C28</f>
        <v>1005.33333333333</v>
      </c>
      <c r="F28" s="4" t="n">
        <f aca="false">G28-C28</f>
        <v>946.666666666667</v>
      </c>
      <c r="G28" s="4" t="n">
        <f aca="false">MIN(F30)</f>
        <v>1005.33333333333</v>
      </c>
      <c r="H28" s="4" t="n">
        <f aca="false">F28-D28</f>
        <v>0</v>
      </c>
      <c r="I28" s="4" t="n">
        <f aca="false">IF(ABS(H28)&lt;0.000001,1,0)</f>
        <v>1</v>
      </c>
    </row>
    <row r="29" customFormat="false" ht="15" hidden="false" customHeight="false" outlineLevel="0" collapsed="false">
      <c r="A29" s="3" t="s">
        <v>242</v>
      </c>
      <c r="B29" s="3" t="s">
        <v>243</v>
      </c>
      <c r="C29" s="5" t="n">
        <f aca="false">Работы!I29</f>
        <v>76</v>
      </c>
      <c r="D29" s="5" t="n">
        <f aca="false">MAX(E11,E24,E27)</f>
        <v>725.333333333333</v>
      </c>
      <c r="E29" s="5" t="n">
        <f aca="false">D29+C29</f>
        <v>801.333333333333</v>
      </c>
      <c r="F29" s="5" t="n">
        <f aca="false">G29-C29</f>
        <v>929.333333333333</v>
      </c>
      <c r="G29" s="5" t="n">
        <f aca="false">MIN(F30)</f>
        <v>1005.33333333333</v>
      </c>
      <c r="H29" s="5" t="n">
        <f aca="false">F29-D29</f>
        <v>204</v>
      </c>
      <c r="I29" s="5" t="n">
        <f aca="false">IF(ABS(H29)&lt;0.000001,1,0)</f>
        <v>0</v>
      </c>
    </row>
    <row r="30" customFormat="false" ht="15" hidden="false" customHeight="false" outlineLevel="0" collapsed="false">
      <c r="A30" s="2" t="s">
        <v>246</v>
      </c>
      <c r="B30" s="2" t="s">
        <v>247</v>
      </c>
      <c r="C30" s="4" t="n">
        <f aca="false">Работы!I30</f>
        <v>109.333333333333</v>
      </c>
      <c r="D30" s="4" t="n">
        <f aca="false">MAX(E28,E29)</f>
        <v>1005.33333333333</v>
      </c>
      <c r="E30" s="4" t="n">
        <f aca="false">D30+C30</f>
        <v>1114.66666666667</v>
      </c>
      <c r="F30" s="4" t="n">
        <f aca="false">G30-C30</f>
        <v>1005.33333333333</v>
      </c>
      <c r="G30" s="4" t="n">
        <f aca="false">MIN(F31)</f>
        <v>1114.66666666667</v>
      </c>
      <c r="H30" s="4" t="n">
        <f aca="false">F30-D30</f>
        <v>0</v>
      </c>
      <c r="I30" s="4" t="n">
        <f aca="false">IF(ABS(H30)&lt;0.000001,1,0)</f>
        <v>1</v>
      </c>
    </row>
    <row r="31" customFormat="false" ht="15" hidden="false" customHeight="false" outlineLevel="0" collapsed="false">
      <c r="A31" s="3" t="s">
        <v>250</v>
      </c>
      <c r="B31" s="3" t="s">
        <v>251</v>
      </c>
      <c r="C31" s="5" t="n">
        <f aca="false">Работы!I31</f>
        <v>68</v>
      </c>
      <c r="D31" s="5" t="n">
        <f aca="false">MAX(E30)</f>
        <v>1114.66666666667</v>
      </c>
      <c r="E31" s="5" t="n">
        <f aca="false">D31+C31</f>
        <v>1182.66666666667</v>
      </c>
      <c r="F31" s="5" t="n">
        <f aca="false">G31-C31</f>
        <v>1114.66666666667</v>
      </c>
      <c r="G31" s="5" t="n">
        <f aca="false">MIN(F33)</f>
        <v>1182.66666666667</v>
      </c>
      <c r="H31" s="5" t="n">
        <f aca="false">F31-D31</f>
        <v>0</v>
      </c>
      <c r="I31" s="5" t="n">
        <f aca="false">IF(ABS(H31)&lt;0.000001,1,0)</f>
        <v>1</v>
      </c>
    </row>
    <row r="32" customFormat="false" ht="23.85" hidden="false" customHeight="false" outlineLevel="0" collapsed="false">
      <c r="A32" s="2" t="s">
        <v>253</v>
      </c>
      <c r="B32" s="2" t="s">
        <v>254</v>
      </c>
      <c r="C32" s="4" t="n">
        <f aca="false">Работы!I32</f>
        <v>50.6666666666667</v>
      </c>
      <c r="D32" s="4" t="n">
        <f aca="false">MAX(E26,E27,E25)</f>
        <v>946.666666666667</v>
      </c>
      <c r="E32" s="4" t="n">
        <f aca="false">D32+C32</f>
        <v>997.333333333333</v>
      </c>
      <c r="F32" s="4" t="n">
        <f aca="false">G32-C32</f>
        <v>1132</v>
      </c>
      <c r="G32" s="4" t="n">
        <f aca="false">MIN(F33)</f>
        <v>1182.66666666667</v>
      </c>
      <c r="H32" s="4" t="n">
        <f aca="false">F32-D32</f>
        <v>185.333333333333</v>
      </c>
      <c r="I32" s="4" t="n">
        <f aca="false">IF(ABS(H32)&lt;0.000001,1,0)</f>
        <v>0</v>
      </c>
    </row>
    <row r="33" customFormat="false" ht="15" hidden="false" customHeight="false" outlineLevel="0" collapsed="false">
      <c r="A33" s="3" t="s">
        <v>257</v>
      </c>
      <c r="B33" s="3" t="s">
        <v>258</v>
      </c>
      <c r="C33" s="5" t="n">
        <f aca="false">Работы!I33</f>
        <v>52</v>
      </c>
      <c r="D33" s="5" t="n">
        <f aca="false">MAX(E31,E32)</f>
        <v>1182.66666666667</v>
      </c>
      <c r="E33" s="5" t="n">
        <f aca="false">D33+C33</f>
        <v>1234.66666666667</v>
      </c>
      <c r="F33" s="5" t="n">
        <f aca="false">G33-C33</f>
        <v>1182.66666666667</v>
      </c>
      <c r="G33" s="5" t="n">
        <f aca="false">MAX(E2:E33)</f>
        <v>1234.66666666667</v>
      </c>
      <c r="H33" s="5" t="n">
        <f aca="false">F33-D33</f>
        <v>0</v>
      </c>
      <c r="I33" s="5" t="n">
        <f aca="false">IF(ABS(H33)&lt;0.000001,1,0)</f>
        <v>1</v>
      </c>
    </row>
  </sheetData>
  <autoFilter ref="A1:I33"/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24"/>
    <col collapsed="false" customWidth="true" hidden="false" outlineLevel="0" max="4" min="4" style="0" width="22"/>
    <col collapsed="false" customWidth="true" hidden="false" outlineLevel="0" max="5" min="5" style="0" width="18"/>
    <col collapsed="false" customWidth="true" hidden="false" outlineLevel="0" max="6" min="6" style="0" width="26"/>
  </cols>
  <sheetData>
    <row r="1" customFormat="false" ht="15" hidden="false" customHeight="false" outlineLevel="0" collapsed="false">
      <c r="A1" s="1" t="s">
        <v>269</v>
      </c>
      <c r="B1" s="1" t="s">
        <v>270</v>
      </c>
      <c r="C1" s="1" t="s">
        <v>271</v>
      </c>
      <c r="D1" s="1" t="s">
        <v>272</v>
      </c>
      <c r="E1" s="1" t="s">
        <v>273</v>
      </c>
      <c r="F1" s="1" t="s">
        <v>274</v>
      </c>
    </row>
    <row r="2" customFormat="false" ht="15" hidden="false" customHeight="false" outlineLevel="0" collapsed="false">
      <c r="A2" s="2" t="n">
        <v>1</v>
      </c>
      <c r="B2" s="4" t="n">
        <v>2428</v>
      </c>
      <c r="C2" s="4" t="n">
        <v>2428</v>
      </c>
      <c r="D2" s="4" t="n">
        <v>60.7</v>
      </c>
      <c r="E2" s="4" t="n">
        <v>1</v>
      </c>
      <c r="F2" s="4" t="n">
        <v>0.966522678185745</v>
      </c>
    </row>
    <row r="3" customFormat="false" ht="15" hidden="false" customHeight="false" outlineLevel="0" collapsed="false">
      <c r="A3" s="3" t="n">
        <v>2</v>
      </c>
      <c r="B3" s="5" t="n">
        <v>1234.66666666667</v>
      </c>
      <c r="C3" s="5" t="n">
        <v>1425.33333333333</v>
      </c>
      <c r="D3" s="5" t="n">
        <v>35.6333333333333</v>
      </c>
      <c r="E3" s="5" t="n">
        <v>0.851730589335828</v>
      </c>
      <c r="F3" s="5" t="n">
        <v>0.154427645788337</v>
      </c>
    </row>
    <row r="4" customFormat="false" ht="15" hidden="false" customHeight="false" outlineLevel="0" collapsed="false">
      <c r="A4" s="2" t="n">
        <v>3</v>
      </c>
      <c r="B4" s="4" t="n">
        <v>1234.66666666667</v>
      </c>
      <c r="C4" s="4" t="n">
        <v>1234.66666666667</v>
      </c>
      <c r="D4" s="4" t="n">
        <v>30.8666666666667</v>
      </c>
      <c r="E4" s="4" t="n">
        <v>0.655507559395248</v>
      </c>
      <c r="F4" s="4" t="n">
        <v>0</v>
      </c>
    </row>
    <row r="5" customFormat="false" ht="15" hidden="false" customHeight="false" outlineLevel="0" collapsed="false">
      <c r="A5" s="3" t="n">
        <v>4</v>
      </c>
      <c r="B5" s="5" t="n">
        <v>1234.66666666667</v>
      </c>
      <c r="C5" s="5" t="n">
        <v>1234.66666666667</v>
      </c>
      <c r="D5" s="5" t="n">
        <v>30.8666666666667</v>
      </c>
      <c r="E5" s="5" t="n">
        <v>0.491630669546436</v>
      </c>
      <c r="F5" s="5" t="n">
        <v>0</v>
      </c>
    </row>
    <row r="6" customFormat="false" ht="15" hidden="false" customHeight="false" outlineLevel="0" collapsed="false">
      <c r="A6" s="2" t="n">
        <v>5</v>
      </c>
      <c r="B6" s="4" t="n">
        <v>1234.66666666667</v>
      </c>
      <c r="C6" s="4" t="n">
        <v>1234.66666666667</v>
      </c>
      <c r="D6" s="4" t="n">
        <v>30.8666666666667</v>
      </c>
      <c r="E6" s="4" t="n">
        <v>0.393304535637149</v>
      </c>
      <c r="F6" s="4" t="n">
        <v>0</v>
      </c>
    </row>
    <row r="7" customFormat="false" ht="15" hidden="false" customHeight="false" outlineLevel="0" collapsed="false">
      <c r="A7" s="3" t="n">
        <v>6</v>
      </c>
      <c r="B7" s="5" t="n">
        <v>1234.66666666667</v>
      </c>
      <c r="C7" s="5" t="n">
        <v>1234.66666666667</v>
      </c>
      <c r="D7" s="5" t="n">
        <v>30.8666666666667</v>
      </c>
      <c r="E7" s="5" t="n">
        <v>0.327753779697624</v>
      </c>
      <c r="F7" s="5" t="n">
        <v>0</v>
      </c>
    </row>
    <row r="8" customFormat="false" ht="15" hidden="false" customHeight="false" outlineLevel="0" collapsed="false">
      <c r="A8" s="2" t="n">
        <v>7</v>
      </c>
      <c r="B8" s="4" t="n">
        <v>1234.66666666667</v>
      </c>
      <c r="C8" s="4" t="n">
        <v>1234.66666666667</v>
      </c>
      <c r="D8" s="4" t="n">
        <v>30.8666666666667</v>
      </c>
      <c r="E8" s="4" t="n">
        <v>0.280931811169392</v>
      </c>
      <c r="F8" s="4" t="n">
        <v>0</v>
      </c>
    </row>
    <row r="9" customFormat="false" ht="15" hidden="false" customHeight="false" outlineLevel="0" collapsed="false">
      <c r="A9" s="3" t="n">
        <v>8</v>
      </c>
      <c r="B9" s="5" t="n">
        <v>1234.66666666667</v>
      </c>
      <c r="C9" s="5" t="n">
        <v>1234.66666666667</v>
      </c>
      <c r="D9" s="5" t="n">
        <v>30.8666666666667</v>
      </c>
      <c r="E9" s="5" t="n">
        <v>0.245815334773218</v>
      </c>
      <c r="F9" s="5" t="n">
        <v>0</v>
      </c>
    </row>
  </sheetData>
  <autoFilter ref="A1:F9"/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4"/>
    <col collapsed="false" customWidth="true" hidden="false" outlineLevel="0" max="5" min="3" style="0" width="18"/>
    <col collapsed="false" customWidth="true" hidden="false" outlineLevel="0" max="7" min="6" style="0" width="22"/>
  </cols>
  <sheetData>
    <row r="1" customFormat="false" ht="15" hidden="false" customHeight="false" outlineLevel="0" collapsed="false">
      <c r="A1" s="1" t="s">
        <v>29</v>
      </c>
      <c r="B1" s="1" t="s">
        <v>137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</row>
    <row r="2" customFormat="false" ht="15" hidden="false" customHeight="false" outlineLevel="0" collapsed="false">
      <c r="A2" s="2" t="s">
        <v>147</v>
      </c>
      <c r="B2" s="2" t="s">
        <v>148</v>
      </c>
      <c r="C2" s="2" t="n">
        <v>1</v>
      </c>
      <c r="D2" s="4" t="n">
        <v>0</v>
      </c>
      <c r="E2" s="4" t="n">
        <v>42.6666666666667</v>
      </c>
      <c r="F2" s="4" t="n">
        <v>0</v>
      </c>
      <c r="G2" s="4" t="n">
        <v>1.06666666666667</v>
      </c>
    </row>
    <row r="3" customFormat="false" ht="15" hidden="false" customHeight="false" outlineLevel="0" collapsed="false">
      <c r="A3" s="3" t="s">
        <v>151</v>
      </c>
      <c r="B3" s="3" t="s">
        <v>152</v>
      </c>
      <c r="C3" s="3" t="n">
        <v>1</v>
      </c>
      <c r="D3" s="5" t="n">
        <v>42.6666666666667</v>
      </c>
      <c r="E3" s="5" t="n">
        <v>101.333333333333</v>
      </c>
      <c r="F3" s="5" t="n">
        <v>1.06666666666667</v>
      </c>
      <c r="G3" s="5" t="n">
        <v>2.53333333333333</v>
      </c>
    </row>
    <row r="4" customFormat="false" ht="15" hidden="false" customHeight="false" outlineLevel="0" collapsed="false">
      <c r="A4" s="2" t="s">
        <v>154</v>
      </c>
      <c r="B4" s="2" t="s">
        <v>155</v>
      </c>
      <c r="C4" s="2" t="n">
        <v>2</v>
      </c>
      <c r="D4" s="4" t="n">
        <v>42.6666666666667</v>
      </c>
      <c r="E4" s="4" t="n">
        <v>125.333333333333</v>
      </c>
      <c r="F4" s="4" t="n">
        <v>1.06666666666667</v>
      </c>
      <c r="G4" s="4" t="n">
        <v>3.13333333333333</v>
      </c>
    </row>
    <row r="5" customFormat="false" ht="15" hidden="false" customHeight="false" outlineLevel="0" collapsed="false">
      <c r="A5" s="3" t="s">
        <v>157</v>
      </c>
      <c r="B5" s="3" t="s">
        <v>158</v>
      </c>
      <c r="C5" s="3" t="n">
        <v>1</v>
      </c>
      <c r="D5" s="5" t="n">
        <v>101.333333333333</v>
      </c>
      <c r="E5" s="5" t="n">
        <v>152</v>
      </c>
      <c r="F5" s="5" t="n">
        <v>2.53333333333333</v>
      </c>
      <c r="G5" s="5" t="n">
        <v>3.8</v>
      </c>
    </row>
    <row r="6" customFormat="false" ht="15" hidden="false" customHeight="false" outlineLevel="0" collapsed="false">
      <c r="A6" s="2" t="s">
        <v>160</v>
      </c>
      <c r="B6" s="2" t="s">
        <v>161</v>
      </c>
      <c r="C6" s="2" t="n">
        <v>1</v>
      </c>
      <c r="D6" s="4" t="n">
        <v>152</v>
      </c>
      <c r="E6" s="4" t="n">
        <v>244</v>
      </c>
      <c r="F6" s="4" t="n">
        <v>3.8</v>
      </c>
      <c r="G6" s="4" t="n">
        <v>6.1</v>
      </c>
    </row>
    <row r="7" customFormat="false" ht="15" hidden="false" customHeight="false" outlineLevel="0" collapsed="false">
      <c r="A7" s="3" t="s">
        <v>164</v>
      </c>
      <c r="B7" s="3" t="s">
        <v>165</v>
      </c>
      <c r="C7" s="3" t="n">
        <v>2</v>
      </c>
      <c r="D7" s="5" t="n">
        <v>244</v>
      </c>
      <c r="E7" s="5" t="n">
        <v>285.333333333333</v>
      </c>
      <c r="F7" s="5" t="n">
        <v>6.1</v>
      </c>
      <c r="G7" s="5" t="n">
        <v>7.13333333333333</v>
      </c>
    </row>
    <row r="8" customFormat="false" ht="15" hidden="false" customHeight="false" outlineLevel="0" collapsed="false">
      <c r="A8" s="2" t="s">
        <v>168</v>
      </c>
      <c r="B8" s="2" t="s">
        <v>169</v>
      </c>
      <c r="C8" s="2" t="n">
        <v>1</v>
      </c>
      <c r="D8" s="4" t="n">
        <v>244</v>
      </c>
      <c r="E8" s="4" t="n">
        <v>345.333333333333</v>
      </c>
      <c r="F8" s="4" t="n">
        <v>6.1</v>
      </c>
      <c r="G8" s="4" t="n">
        <v>8.63333333333333</v>
      </c>
    </row>
    <row r="9" customFormat="false" ht="15" hidden="false" customHeight="false" outlineLevel="0" collapsed="false">
      <c r="A9" s="3" t="s">
        <v>172</v>
      </c>
      <c r="B9" s="3" t="s">
        <v>173</v>
      </c>
      <c r="C9" s="3" t="n">
        <v>1</v>
      </c>
      <c r="D9" s="5" t="n">
        <v>345.333333333333</v>
      </c>
      <c r="E9" s="5" t="n">
        <v>472</v>
      </c>
      <c r="F9" s="5" t="n">
        <v>8.63333333333333</v>
      </c>
      <c r="G9" s="5" t="n">
        <v>11.8</v>
      </c>
    </row>
    <row r="10" customFormat="false" ht="15" hidden="false" customHeight="false" outlineLevel="0" collapsed="false">
      <c r="A10" s="2" t="s">
        <v>175</v>
      </c>
      <c r="B10" s="2" t="s">
        <v>176</v>
      </c>
      <c r="C10" s="2" t="n">
        <v>1</v>
      </c>
      <c r="D10" s="4" t="n">
        <v>472</v>
      </c>
      <c r="E10" s="4" t="n">
        <v>556</v>
      </c>
      <c r="F10" s="4" t="n">
        <v>11.8</v>
      </c>
      <c r="G10" s="4" t="n">
        <v>13.9</v>
      </c>
    </row>
    <row r="11" customFormat="false" ht="15" hidden="false" customHeight="false" outlineLevel="0" collapsed="false">
      <c r="A11" s="3" t="s">
        <v>178</v>
      </c>
      <c r="B11" s="3" t="s">
        <v>179</v>
      </c>
      <c r="C11" s="3" t="n">
        <v>1</v>
      </c>
      <c r="D11" s="5" t="n">
        <v>556</v>
      </c>
      <c r="E11" s="5" t="n">
        <v>725.333333333333</v>
      </c>
      <c r="F11" s="5" t="n">
        <v>13.9</v>
      </c>
      <c r="G11" s="5" t="n">
        <v>18.1333333333333</v>
      </c>
    </row>
    <row r="12" customFormat="false" ht="15" hidden="false" customHeight="false" outlineLevel="0" collapsed="false">
      <c r="A12" s="2" t="s">
        <v>182</v>
      </c>
      <c r="B12" s="2" t="s">
        <v>183</v>
      </c>
      <c r="C12" s="2" t="n">
        <v>3</v>
      </c>
      <c r="D12" s="4" t="n">
        <v>345.333333333333</v>
      </c>
      <c r="E12" s="4" t="n">
        <v>437.333333333333</v>
      </c>
      <c r="F12" s="4" t="n">
        <v>8.63333333333333</v>
      </c>
      <c r="G12" s="4" t="n">
        <v>10.9333333333333</v>
      </c>
    </row>
    <row r="13" customFormat="false" ht="15" hidden="false" customHeight="false" outlineLevel="0" collapsed="false">
      <c r="A13" s="3" t="s">
        <v>186</v>
      </c>
      <c r="B13" s="3" t="s">
        <v>53</v>
      </c>
      <c r="C13" s="3" t="n">
        <v>2</v>
      </c>
      <c r="D13" s="5" t="n">
        <v>480</v>
      </c>
      <c r="E13" s="5" t="n">
        <v>530.666666666667</v>
      </c>
      <c r="F13" s="5" t="n">
        <v>12</v>
      </c>
      <c r="G13" s="5" t="n">
        <v>13.2666666666667</v>
      </c>
    </row>
    <row r="14" customFormat="false" ht="15" hidden="false" customHeight="false" outlineLevel="0" collapsed="false">
      <c r="A14" s="2" t="s">
        <v>189</v>
      </c>
      <c r="B14" s="2" t="s">
        <v>190</v>
      </c>
      <c r="C14" s="2" t="n">
        <v>2</v>
      </c>
      <c r="D14" s="4" t="n">
        <v>345.333333333333</v>
      </c>
      <c r="E14" s="4" t="n">
        <v>412</v>
      </c>
      <c r="F14" s="4" t="n">
        <v>8.63333333333333</v>
      </c>
      <c r="G14" s="4" t="n">
        <v>10.3</v>
      </c>
    </row>
    <row r="15" customFormat="false" ht="15" hidden="false" customHeight="false" outlineLevel="0" collapsed="false">
      <c r="A15" s="3" t="s">
        <v>194</v>
      </c>
      <c r="B15" s="3" t="s">
        <v>195</v>
      </c>
      <c r="C15" s="3" t="n">
        <v>3</v>
      </c>
      <c r="D15" s="5" t="n">
        <v>472</v>
      </c>
      <c r="E15" s="5" t="n">
        <v>581.333333333333</v>
      </c>
      <c r="F15" s="5" t="n">
        <v>11.8</v>
      </c>
      <c r="G15" s="5" t="n">
        <v>14.5333333333333</v>
      </c>
    </row>
    <row r="16" customFormat="false" ht="15" hidden="false" customHeight="false" outlineLevel="0" collapsed="false">
      <c r="A16" s="2" t="s">
        <v>198</v>
      </c>
      <c r="B16" s="2" t="s">
        <v>199</v>
      </c>
      <c r="C16" s="2" t="n">
        <v>3</v>
      </c>
      <c r="D16" s="4" t="n">
        <v>581.333333333333</v>
      </c>
      <c r="E16" s="4" t="n">
        <v>664</v>
      </c>
      <c r="F16" s="4" t="n">
        <v>14.5333333333333</v>
      </c>
      <c r="G16" s="4" t="n">
        <v>16.6</v>
      </c>
    </row>
    <row r="17" customFormat="false" ht="15" hidden="false" customHeight="false" outlineLevel="0" collapsed="false">
      <c r="A17" s="3" t="s">
        <v>202</v>
      </c>
      <c r="B17" s="3" t="s">
        <v>203</v>
      </c>
      <c r="C17" s="3" t="n">
        <v>1</v>
      </c>
      <c r="D17" s="5" t="n">
        <v>725.333333333333</v>
      </c>
      <c r="E17" s="5" t="n">
        <v>810.666666666667</v>
      </c>
      <c r="F17" s="5" t="n">
        <v>18.1333333333333</v>
      </c>
      <c r="G17" s="5" t="n">
        <v>20.2666666666667</v>
      </c>
    </row>
    <row r="18" customFormat="false" ht="15" hidden="false" customHeight="false" outlineLevel="0" collapsed="false">
      <c r="A18" s="2" t="s">
        <v>206</v>
      </c>
      <c r="B18" s="2" t="s">
        <v>207</v>
      </c>
      <c r="C18" s="2" t="n">
        <v>3</v>
      </c>
      <c r="D18" s="4" t="n">
        <v>664</v>
      </c>
      <c r="E18" s="4" t="n">
        <v>732</v>
      </c>
      <c r="F18" s="4" t="n">
        <v>16.6</v>
      </c>
      <c r="G18" s="4" t="n">
        <v>18.3</v>
      </c>
    </row>
    <row r="19" customFormat="false" ht="15" hidden="false" customHeight="false" outlineLevel="0" collapsed="false">
      <c r="A19" s="3" t="s">
        <v>209</v>
      </c>
      <c r="B19" s="3" t="s">
        <v>210</v>
      </c>
      <c r="C19" s="3" t="n">
        <v>1</v>
      </c>
      <c r="D19" s="5" t="n">
        <v>810.666666666667</v>
      </c>
      <c r="E19" s="5" t="n">
        <v>878.666666666667</v>
      </c>
      <c r="F19" s="5" t="n">
        <v>20.2666666666667</v>
      </c>
      <c r="G19" s="5" t="n">
        <v>21.9666666666667</v>
      </c>
    </row>
    <row r="20" customFormat="false" ht="15" hidden="false" customHeight="false" outlineLevel="0" collapsed="false">
      <c r="A20" s="2" t="s">
        <v>213</v>
      </c>
      <c r="B20" s="2" t="s">
        <v>214</v>
      </c>
      <c r="C20" s="2" t="n">
        <v>3</v>
      </c>
      <c r="D20" s="4" t="n">
        <v>878.666666666667</v>
      </c>
      <c r="E20" s="4" t="n">
        <v>937.333333333333</v>
      </c>
      <c r="F20" s="4" t="n">
        <v>21.9666666666667</v>
      </c>
      <c r="G20" s="4" t="n">
        <v>23.4333333333333</v>
      </c>
    </row>
    <row r="21" customFormat="false" ht="15" hidden="false" customHeight="false" outlineLevel="0" collapsed="false">
      <c r="A21" s="3" t="s">
        <v>216</v>
      </c>
      <c r="B21" s="3" t="s">
        <v>83</v>
      </c>
      <c r="C21" s="3" t="n">
        <v>2</v>
      </c>
      <c r="D21" s="5" t="n">
        <v>641.333333333333</v>
      </c>
      <c r="E21" s="5" t="n">
        <v>708</v>
      </c>
      <c r="F21" s="5" t="n">
        <v>16.0333333333333</v>
      </c>
      <c r="G21" s="5" t="n">
        <v>17.7</v>
      </c>
    </row>
    <row r="22" customFormat="false" ht="15" hidden="false" customHeight="false" outlineLevel="0" collapsed="false">
      <c r="A22" s="2" t="s">
        <v>218</v>
      </c>
      <c r="B22" s="2" t="s">
        <v>219</v>
      </c>
      <c r="C22" s="2" t="n">
        <v>2</v>
      </c>
      <c r="D22" s="4" t="n">
        <v>708</v>
      </c>
      <c r="E22" s="4" t="n">
        <v>758.666666666667</v>
      </c>
      <c r="F22" s="4" t="n">
        <v>17.7</v>
      </c>
      <c r="G22" s="4" t="n">
        <v>18.9666666666667</v>
      </c>
    </row>
    <row r="23" customFormat="false" ht="15" hidden="false" customHeight="false" outlineLevel="0" collapsed="false">
      <c r="A23" s="3" t="s">
        <v>222</v>
      </c>
      <c r="B23" s="3" t="s">
        <v>91</v>
      </c>
      <c r="C23" s="3" t="n">
        <v>2</v>
      </c>
      <c r="D23" s="5" t="n">
        <v>412</v>
      </c>
      <c r="E23" s="5" t="n">
        <v>480</v>
      </c>
      <c r="F23" s="5" t="n">
        <v>10.3</v>
      </c>
      <c r="G23" s="5" t="n">
        <v>12</v>
      </c>
    </row>
    <row r="24" customFormat="false" ht="15" hidden="false" customHeight="false" outlineLevel="0" collapsed="false">
      <c r="A24" s="2" t="s">
        <v>225</v>
      </c>
      <c r="B24" s="2" t="s">
        <v>226</v>
      </c>
      <c r="C24" s="2" t="n">
        <v>2</v>
      </c>
      <c r="D24" s="4" t="n">
        <v>530.666666666667</v>
      </c>
      <c r="E24" s="4" t="n">
        <v>641.333333333333</v>
      </c>
      <c r="F24" s="4" t="n">
        <v>13.2666666666667</v>
      </c>
      <c r="G24" s="4" t="n">
        <v>16.0333333333333</v>
      </c>
    </row>
    <row r="25" customFormat="false" ht="15" hidden="false" customHeight="false" outlineLevel="0" collapsed="false">
      <c r="A25" s="3" t="s">
        <v>228</v>
      </c>
      <c r="B25" s="3" t="s">
        <v>229</v>
      </c>
      <c r="C25" s="3" t="n">
        <v>3</v>
      </c>
      <c r="D25" s="5" t="n">
        <v>732</v>
      </c>
      <c r="E25" s="5" t="n">
        <v>784</v>
      </c>
      <c r="F25" s="5" t="n">
        <v>18.3</v>
      </c>
      <c r="G25" s="5" t="n">
        <v>19.6</v>
      </c>
    </row>
    <row r="26" customFormat="false" ht="15" hidden="false" customHeight="false" outlineLevel="0" collapsed="false">
      <c r="A26" s="2" t="s">
        <v>231</v>
      </c>
      <c r="B26" s="2" t="s">
        <v>232</v>
      </c>
      <c r="C26" s="2" t="n">
        <v>1</v>
      </c>
      <c r="D26" s="4" t="n">
        <v>878.666666666667</v>
      </c>
      <c r="E26" s="4" t="n">
        <v>946.666666666667</v>
      </c>
      <c r="F26" s="4" t="n">
        <v>21.9666666666667</v>
      </c>
      <c r="G26" s="4" t="n">
        <v>23.6666666666667</v>
      </c>
    </row>
    <row r="27" customFormat="false" ht="15" hidden="false" customHeight="false" outlineLevel="0" collapsed="false">
      <c r="A27" s="3" t="s">
        <v>234</v>
      </c>
      <c r="B27" s="3" t="s">
        <v>235</v>
      </c>
      <c r="C27" s="3" t="n">
        <v>2</v>
      </c>
      <c r="D27" s="5" t="n">
        <v>758.666666666667</v>
      </c>
      <c r="E27" s="5" t="n">
        <v>825.333333333333</v>
      </c>
      <c r="F27" s="5" t="n">
        <v>18.9666666666667</v>
      </c>
      <c r="G27" s="5" t="n">
        <v>20.6333333333333</v>
      </c>
    </row>
    <row r="28" customFormat="false" ht="15" hidden="false" customHeight="false" outlineLevel="0" collapsed="false">
      <c r="A28" s="2" t="s">
        <v>238</v>
      </c>
      <c r="B28" s="2" t="s">
        <v>239</v>
      </c>
      <c r="C28" s="2" t="n">
        <v>1</v>
      </c>
      <c r="D28" s="4" t="n">
        <v>946.666666666667</v>
      </c>
      <c r="E28" s="4" t="n">
        <v>1005.33333333333</v>
      </c>
      <c r="F28" s="4" t="n">
        <v>23.6666666666667</v>
      </c>
      <c r="G28" s="4" t="n">
        <v>25.1333333333333</v>
      </c>
    </row>
    <row r="29" customFormat="false" ht="15" hidden="false" customHeight="false" outlineLevel="0" collapsed="false">
      <c r="A29" s="3" t="s">
        <v>242</v>
      </c>
      <c r="B29" s="3" t="s">
        <v>243</v>
      </c>
      <c r="C29" s="3" t="n">
        <v>2</v>
      </c>
      <c r="D29" s="5" t="n">
        <v>825.333333333333</v>
      </c>
      <c r="E29" s="5" t="n">
        <v>901.333333333333</v>
      </c>
      <c r="F29" s="5" t="n">
        <v>20.6333333333333</v>
      </c>
      <c r="G29" s="5" t="n">
        <v>22.5333333333333</v>
      </c>
    </row>
    <row r="30" customFormat="false" ht="15" hidden="false" customHeight="false" outlineLevel="0" collapsed="false">
      <c r="A30" s="2" t="s">
        <v>246</v>
      </c>
      <c r="B30" s="2" t="s">
        <v>247</v>
      </c>
      <c r="C30" s="2" t="n">
        <v>1</v>
      </c>
      <c r="D30" s="4" t="n">
        <v>1005.33333333333</v>
      </c>
      <c r="E30" s="4" t="n">
        <v>1114.66666666667</v>
      </c>
      <c r="F30" s="4" t="n">
        <v>25.1333333333333</v>
      </c>
      <c r="G30" s="4" t="n">
        <v>27.8666666666667</v>
      </c>
    </row>
    <row r="31" customFormat="false" ht="15" hidden="false" customHeight="false" outlineLevel="0" collapsed="false">
      <c r="A31" s="3" t="s">
        <v>250</v>
      </c>
      <c r="B31" s="3" t="s">
        <v>251</v>
      </c>
      <c r="C31" s="3" t="n">
        <v>1</v>
      </c>
      <c r="D31" s="5" t="n">
        <v>1114.66666666667</v>
      </c>
      <c r="E31" s="5" t="n">
        <v>1182.66666666667</v>
      </c>
      <c r="F31" s="5" t="n">
        <v>27.8666666666667</v>
      </c>
      <c r="G31" s="5" t="n">
        <v>29.5666666666667</v>
      </c>
    </row>
    <row r="32" customFormat="false" ht="15" hidden="false" customHeight="false" outlineLevel="0" collapsed="false">
      <c r="A32" s="2" t="s">
        <v>253</v>
      </c>
      <c r="B32" s="2" t="s">
        <v>254</v>
      </c>
      <c r="C32" s="2" t="n">
        <v>2</v>
      </c>
      <c r="D32" s="4" t="n">
        <v>946.666666666667</v>
      </c>
      <c r="E32" s="4" t="n">
        <v>997.333333333333</v>
      </c>
      <c r="F32" s="4" t="n">
        <v>23.6666666666667</v>
      </c>
      <c r="G32" s="4" t="n">
        <v>24.9333333333333</v>
      </c>
    </row>
    <row r="33" customFormat="false" ht="15" hidden="false" customHeight="false" outlineLevel="0" collapsed="false">
      <c r="A33" s="3" t="s">
        <v>257</v>
      </c>
      <c r="B33" s="3" t="s">
        <v>258</v>
      </c>
      <c r="C33" s="3" t="n">
        <v>1</v>
      </c>
      <c r="D33" s="5" t="n">
        <v>1182.66666666667</v>
      </c>
      <c r="E33" s="5" t="n">
        <v>1234.66666666667</v>
      </c>
      <c r="F33" s="5" t="n">
        <v>29.5666666666667</v>
      </c>
      <c r="G33" s="5" t="n">
        <v>30.8666666666667</v>
      </c>
    </row>
  </sheetData>
  <autoFilter ref="A1:G33"/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4"/>
    <col collapsed="false" customWidth="true" hidden="false" outlineLevel="0" max="5" min="3" style="0" width="12"/>
    <col collapsed="false" customWidth="true" hidden="false" outlineLevel="0" max="6" min="6" style="0" width="18"/>
    <col collapsed="false" customWidth="true" hidden="false" outlineLevel="0" max="7" min="7" style="0" width="12"/>
    <col collapsed="false" customWidth="true" hidden="false" outlineLevel="0" max="8" min="8" style="0" width="85"/>
  </cols>
  <sheetData>
    <row r="1" customFormat="false" ht="15" hidden="false" customHeight="false" outlineLevel="0" collapsed="false">
      <c r="A1" s="1" t="s">
        <v>29</v>
      </c>
      <c r="B1" s="1" t="s">
        <v>280</v>
      </c>
      <c r="C1" s="1" t="s">
        <v>281</v>
      </c>
      <c r="D1" s="1" t="s">
        <v>282</v>
      </c>
      <c r="E1" s="1" t="s">
        <v>283</v>
      </c>
      <c r="F1" s="1" t="s">
        <v>284</v>
      </c>
      <c r="G1" s="1" t="s">
        <v>285</v>
      </c>
      <c r="H1" s="1" t="s">
        <v>286</v>
      </c>
    </row>
    <row r="2" customFormat="false" ht="15" hidden="false" customHeight="false" outlineLevel="0" collapsed="false">
      <c r="A2" s="2" t="s">
        <v>287</v>
      </c>
      <c r="B2" s="2" t="s">
        <v>288</v>
      </c>
      <c r="C2" s="2" t="s">
        <v>289</v>
      </c>
      <c r="D2" s="2" t="n">
        <v>2</v>
      </c>
      <c r="E2" s="2" t="n">
        <v>18</v>
      </c>
      <c r="F2" s="2" t="str">
        <f aca="false">CHOOSE(IF(D2=1,IF(E2&lt;=50,1,2),IF(D2&lt;=5,IF(E2&lt;=19,1,IF(E2&lt;=50,2,3)),IF(E2&lt;=19,2,3))),"Низкая","Средняя","Высокая")</f>
        <v>Низкая</v>
      </c>
      <c r="G2" s="2" t="n">
        <f aca="false">CHOOSE(IF(D2=1,IF(E2&lt;=50,1,2),IF(D2&lt;=5,IF(E2&lt;=19,1,IF(E2&lt;=50,2,3)),IF(E2&lt;=19,2,3))),7,10,15)</f>
        <v>7</v>
      </c>
      <c r="H2" s="2" t="s">
        <v>290</v>
      </c>
    </row>
    <row r="3" customFormat="false" ht="15" hidden="false" customHeight="false" outlineLevel="0" collapsed="false">
      <c r="A3" s="3" t="s">
        <v>291</v>
      </c>
      <c r="B3" s="3" t="s">
        <v>292</v>
      </c>
      <c r="C3" s="3" t="s">
        <v>289</v>
      </c>
      <c r="D3" s="3" t="n">
        <v>3</v>
      </c>
      <c r="E3" s="3" t="n">
        <v>32</v>
      </c>
      <c r="F3" s="3" t="str">
        <f aca="false">CHOOSE(IF(D3=1,IF(E3&lt;=50,1,2),IF(D3&lt;=5,IF(E3&lt;=19,1,IF(E3&lt;=50,2,3)),IF(E3&lt;=19,2,3))),"Низкая","Средняя","Высокая")</f>
        <v>Средняя</v>
      </c>
      <c r="G3" s="3" t="n">
        <f aca="false">CHOOSE(IF(D3=1,IF(E3&lt;=50,1,2),IF(D3&lt;=5,IF(E3&lt;=19,1,IF(E3&lt;=50,2,3)),IF(E3&lt;=19,2,3))),7,10,15)</f>
        <v>10</v>
      </c>
      <c r="H3" s="3" t="s">
        <v>293</v>
      </c>
    </row>
    <row r="4" customFormat="false" ht="15" hidden="false" customHeight="false" outlineLevel="0" collapsed="false">
      <c r="A4" s="2" t="s">
        <v>294</v>
      </c>
      <c r="B4" s="2" t="s">
        <v>295</v>
      </c>
      <c r="C4" s="2" t="s">
        <v>289</v>
      </c>
      <c r="D4" s="2" t="n">
        <v>3</v>
      </c>
      <c r="E4" s="2" t="n">
        <v>28</v>
      </c>
      <c r="F4" s="2" t="str">
        <f aca="false">CHOOSE(IF(D4=1,IF(E4&lt;=50,1,2),IF(D4&lt;=5,IF(E4&lt;=19,1,IF(E4&lt;=50,2,3)),IF(E4&lt;=19,2,3))),"Низкая","Средняя","Высокая")</f>
        <v>Средняя</v>
      </c>
      <c r="G4" s="2" t="n">
        <f aca="false">CHOOSE(IF(D4=1,IF(E4&lt;=50,1,2),IF(D4&lt;=5,IF(E4&lt;=19,1,IF(E4&lt;=50,2,3)),IF(E4&lt;=19,2,3))),7,10,15)</f>
        <v>10</v>
      </c>
      <c r="H4" s="2" t="s">
        <v>296</v>
      </c>
    </row>
    <row r="5" customFormat="false" ht="15" hidden="false" customHeight="false" outlineLevel="0" collapsed="false">
      <c r="A5" s="3" t="s">
        <v>297</v>
      </c>
      <c r="B5" s="3" t="s">
        <v>298</v>
      </c>
      <c r="C5" s="3" t="s">
        <v>289</v>
      </c>
      <c r="D5" s="3" t="n">
        <v>3</v>
      </c>
      <c r="E5" s="3" t="n">
        <v>24</v>
      </c>
      <c r="F5" s="3" t="str">
        <f aca="false">CHOOSE(IF(D5=1,IF(E5&lt;=50,1,2),IF(D5&lt;=5,IF(E5&lt;=19,1,IF(E5&lt;=50,2,3)),IF(E5&lt;=19,2,3))),"Низкая","Средняя","Высокая")</f>
        <v>Средняя</v>
      </c>
      <c r="G5" s="3" t="n">
        <f aca="false">CHOOSE(IF(D5=1,IF(E5&lt;=50,1,2),IF(D5&lt;=5,IF(E5&lt;=19,1,IF(E5&lt;=50,2,3)),IF(E5&lt;=19,2,3))),7,10,15)</f>
        <v>10</v>
      </c>
      <c r="H5" s="3" t="s">
        <v>299</v>
      </c>
    </row>
    <row r="6" customFormat="false" ht="15" hidden="false" customHeight="false" outlineLevel="0" collapsed="false">
      <c r="A6" s="2" t="s">
        <v>300</v>
      </c>
      <c r="B6" s="2" t="s">
        <v>301</v>
      </c>
      <c r="C6" s="2" t="s">
        <v>289</v>
      </c>
      <c r="D6" s="2" t="n">
        <v>1</v>
      </c>
      <c r="E6" s="2" t="n">
        <v>8</v>
      </c>
      <c r="F6" s="2" t="str">
        <f aca="false">CHOOSE(IF(D6=1,IF(E6&lt;=50,1,2),IF(D6&lt;=5,IF(E6&lt;=19,1,IF(E6&lt;=50,2,3)),IF(E6&lt;=19,2,3))),"Низкая","Средняя","Высокая")</f>
        <v>Низкая</v>
      </c>
      <c r="G6" s="2" t="n">
        <f aca="false">CHOOSE(IF(D6=1,IF(E6&lt;=50,1,2),IF(D6&lt;=5,IF(E6&lt;=19,1,IF(E6&lt;=50,2,3)),IF(E6&lt;=19,2,3))),7,10,15)</f>
        <v>7</v>
      </c>
      <c r="H6" s="2" t="s">
        <v>302</v>
      </c>
    </row>
    <row r="7" customFormat="false" ht="15" hidden="false" customHeight="false" outlineLevel="0" collapsed="false">
      <c r="A7" s="3" t="s">
        <v>303</v>
      </c>
      <c r="B7" s="3" t="s">
        <v>304</v>
      </c>
      <c r="C7" s="3" t="s">
        <v>289</v>
      </c>
      <c r="D7" s="3" t="n">
        <v>2</v>
      </c>
      <c r="E7" s="3" t="n">
        <v>18</v>
      </c>
      <c r="F7" s="3" t="str">
        <f aca="false">CHOOSE(IF(D7=1,IF(E7&lt;=50,1,2),IF(D7&lt;=5,IF(E7&lt;=19,1,IF(E7&lt;=50,2,3)),IF(E7&lt;=19,2,3))),"Низкая","Средняя","Высокая")</f>
        <v>Низкая</v>
      </c>
      <c r="G7" s="3" t="n">
        <f aca="false">CHOOSE(IF(D7=1,IF(E7&lt;=50,1,2),IF(D7&lt;=5,IF(E7&lt;=19,1,IF(E7&lt;=50,2,3)),IF(E7&lt;=19,2,3))),7,10,15)</f>
        <v>7</v>
      </c>
      <c r="H7" s="3" t="s">
        <v>305</v>
      </c>
    </row>
    <row r="8" customFormat="false" ht="15" hidden="false" customHeight="false" outlineLevel="0" collapsed="false">
      <c r="A8" s="2" t="s">
        <v>306</v>
      </c>
      <c r="B8" s="2" t="s">
        <v>307</v>
      </c>
      <c r="C8" s="2" t="s">
        <v>289</v>
      </c>
      <c r="D8" s="2" t="n">
        <v>2</v>
      </c>
      <c r="E8" s="2" t="n">
        <v>12</v>
      </c>
      <c r="F8" s="2" t="str">
        <f aca="false">CHOOSE(IF(D8=1,IF(E8&lt;=50,1,2),IF(D8&lt;=5,IF(E8&lt;=19,1,IF(E8&lt;=50,2,3)),IF(E8&lt;=19,2,3))),"Низкая","Средняя","Высокая")</f>
        <v>Низкая</v>
      </c>
      <c r="G8" s="2" t="n">
        <f aca="false">CHOOSE(IF(D8=1,IF(E8&lt;=50,1,2),IF(D8&lt;=5,IF(E8&lt;=19,1,IF(E8&lt;=50,2,3)),IF(E8&lt;=19,2,3))),7,10,15)</f>
        <v>7</v>
      </c>
      <c r="H8" s="2" t="s">
        <v>308</v>
      </c>
    </row>
    <row r="9" customFormat="false" ht="15" hidden="false" customHeight="false" outlineLevel="0" collapsed="false">
      <c r="A9" s="3" t="s">
        <v>309</v>
      </c>
      <c r="B9" s="3" t="s">
        <v>310</v>
      </c>
      <c r="C9" s="3" t="s">
        <v>289</v>
      </c>
      <c r="D9" s="3" t="n">
        <v>1</v>
      </c>
      <c r="E9" s="3" t="n">
        <v>8</v>
      </c>
      <c r="F9" s="3" t="str">
        <f aca="false">CHOOSE(IF(D9=1,IF(E9&lt;=50,1,2),IF(D9&lt;=5,IF(E9&lt;=19,1,IF(E9&lt;=50,2,3)),IF(E9&lt;=19,2,3))),"Низкая","Средняя","Высокая")</f>
        <v>Низкая</v>
      </c>
      <c r="G9" s="3" t="n">
        <f aca="false">CHOOSE(IF(D9=1,IF(E9&lt;=50,1,2),IF(D9&lt;=5,IF(E9&lt;=19,1,IF(E9&lt;=50,2,3)),IF(E9&lt;=19,2,3))),7,10,15)</f>
        <v>7</v>
      </c>
      <c r="H9" s="3" t="s">
        <v>311</v>
      </c>
    </row>
    <row r="10" customFormat="false" ht="15" hidden="false" customHeight="false" outlineLevel="0" collapsed="false">
      <c r="A10" s="2" t="s">
        <v>312</v>
      </c>
      <c r="B10" s="2" t="s">
        <v>313</v>
      </c>
      <c r="C10" s="2" t="s">
        <v>289</v>
      </c>
      <c r="D10" s="2" t="n">
        <v>2</v>
      </c>
      <c r="E10" s="2" t="n">
        <v>18</v>
      </c>
      <c r="F10" s="2" t="str">
        <f aca="false">CHOOSE(IF(D10=1,IF(E10&lt;=50,1,2),IF(D10&lt;=5,IF(E10&lt;=19,1,IF(E10&lt;=50,2,3)),IF(E10&lt;=19,2,3))),"Низкая","Средняя","Высокая")</f>
        <v>Низкая</v>
      </c>
      <c r="G10" s="2" t="n">
        <f aca="false">CHOOSE(IF(D10=1,IF(E10&lt;=50,1,2),IF(D10&lt;=5,IF(E10&lt;=19,1,IF(E10&lt;=50,2,3)),IF(E10&lt;=19,2,3))),7,10,15)</f>
        <v>7</v>
      </c>
      <c r="H10" s="2" t="s">
        <v>314</v>
      </c>
    </row>
    <row r="11" customFormat="false" ht="15" hidden="false" customHeight="false" outlineLevel="0" collapsed="false">
      <c r="A11" s="3" t="s">
        <v>315</v>
      </c>
      <c r="B11" s="3" t="s">
        <v>316</v>
      </c>
      <c r="C11" s="3" t="s">
        <v>289</v>
      </c>
      <c r="D11" s="3" t="n">
        <v>1</v>
      </c>
      <c r="E11" s="3" t="n">
        <v>9</v>
      </c>
      <c r="F11" s="3" t="str">
        <f aca="false">CHOOSE(IF(D11=1,IF(E11&lt;=50,1,2),IF(D11&lt;=5,IF(E11&lt;=19,1,IF(E11&lt;=50,2,3)),IF(E11&lt;=19,2,3))),"Низкая","Средняя","Высокая")</f>
        <v>Низкая</v>
      </c>
      <c r="G11" s="3" t="n">
        <f aca="false">CHOOSE(IF(D11=1,IF(E11&lt;=50,1,2),IF(D11&lt;=5,IF(E11&lt;=19,1,IF(E11&lt;=50,2,3)),IF(E11&lt;=19,2,3))),7,10,15)</f>
        <v>7</v>
      </c>
      <c r="H11" s="3" t="s">
        <v>317</v>
      </c>
    </row>
    <row r="12" customFormat="false" ht="15" hidden="false" customHeight="false" outlineLevel="0" collapsed="false">
      <c r="A12" s="2" t="s">
        <v>318</v>
      </c>
      <c r="B12" s="2" t="s">
        <v>319</v>
      </c>
      <c r="C12" s="2" t="s">
        <v>289</v>
      </c>
      <c r="D12" s="2" t="n">
        <v>1</v>
      </c>
      <c r="E12" s="2" t="n">
        <v>9</v>
      </c>
      <c r="F12" s="2" t="str">
        <f aca="false">CHOOSE(IF(D12=1,IF(E12&lt;=50,1,2),IF(D12&lt;=5,IF(E12&lt;=19,1,IF(E12&lt;=50,2,3)),IF(E12&lt;=19,2,3))),"Низкая","Средняя","Высокая")</f>
        <v>Низкая</v>
      </c>
      <c r="G12" s="2" t="n">
        <f aca="false">CHOOSE(IF(D12=1,IF(E12&lt;=50,1,2),IF(D12&lt;=5,IF(E12&lt;=19,1,IF(E12&lt;=50,2,3)),IF(E12&lt;=19,2,3))),7,10,15)</f>
        <v>7</v>
      </c>
      <c r="H12" s="2" t="s">
        <v>320</v>
      </c>
    </row>
    <row r="13" customFormat="false" ht="15" hidden="false" customHeight="false" outlineLevel="0" collapsed="false">
      <c r="A13" s="3" t="s">
        <v>321</v>
      </c>
      <c r="B13" s="3" t="s">
        <v>91</v>
      </c>
      <c r="C13" s="3" t="s">
        <v>289</v>
      </c>
      <c r="D13" s="3" t="n">
        <v>2</v>
      </c>
      <c r="E13" s="3" t="n">
        <v>15</v>
      </c>
      <c r="F13" s="3" t="str">
        <f aca="false">CHOOSE(IF(D13=1,IF(E13&lt;=50,1,2),IF(D13&lt;=5,IF(E13&lt;=19,1,IF(E13&lt;=50,2,3)),IF(E13&lt;=19,2,3))),"Низкая","Средняя","Высокая")</f>
        <v>Низкая</v>
      </c>
      <c r="G13" s="3" t="n">
        <f aca="false">CHOOSE(IF(D13=1,IF(E13&lt;=50,1,2),IF(D13&lt;=5,IF(E13&lt;=19,1,IF(E13&lt;=50,2,3)),IF(E13&lt;=19,2,3))),7,10,15)</f>
        <v>7</v>
      </c>
      <c r="H13" s="3" t="s">
        <v>322</v>
      </c>
    </row>
    <row r="14" customFormat="false" ht="15" hidden="false" customHeight="false" outlineLevel="0" collapsed="false">
      <c r="A14" s="2" t="s">
        <v>323</v>
      </c>
      <c r="B14" s="2" t="s">
        <v>324</v>
      </c>
      <c r="C14" s="2" t="s">
        <v>289</v>
      </c>
      <c r="D14" s="2" t="n">
        <v>1</v>
      </c>
      <c r="E14" s="2" t="n">
        <v>5</v>
      </c>
      <c r="F14" s="2" t="str">
        <f aca="false">CHOOSE(IF(D14=1,IF(E14&lt;=50,1,2),IF(D14&lt;=5,IF(E14&lt;=19,1,IF(E14&lt;=50,2,3)),IF(E14&lt;=19,2,3))),"Низкая","Средняя","Высокая")</f>
        <v>Низкая</v>
      </c>
      <c r="G14" s="2" t="n">
        <f aca="false">CHOOSE(IF(D14=1,IF(E14&lt;=50,1,2),IF(D14&lt;=5,IF(E14&lt;=19,1,IF(E14&lt;=50,2,3)),IF(E14&lt;=19,2,3))),7,10,15)</f>
        <v>7</v>
      </c>
      <c r="H14" s="2" t="s">
        <v>325</v>
      </c>
    </row>
    <row r="15" customFormat="false" ht="15" hidden="false" customHeight="false" outlineLevel="0" collapsed="false">
      <c r="A15" s="3" t="s">
        <v>326</v>
      </c>
      <c r="B15" s="3" t="s">
        <v>327</v>
      </c>
      <c r="C15" s="3" t="s">
        <v>289</v>
      </c>
      <c r="D15" s="3" t="n">
        <v>1</v>
      </c>
      <c r="E15" s="3" t="n">
        <v>9</v>
      </c>
      <c r="F15" s="3" t="str">
        <f aca="false">CHOOSE(IF(D15=1,IF(E15&lt;=50,1,2),IF(D15&lt;=5,IF(E15&lt;=19,1,IF(E15&lt;=50,2,3)),IF(E15&lt;=19,2,3))),"Низкая","Средняя","Высокая")</f>
        <v>Низкая</v>
      </c>
      <c r="G15" s="3" t="n">
        <f aca="false">CHOOSE(IF(D15=1,IF(E15&lt;=50,1,2),IF(D15&lt;=5,IF(E15&lt;=19,1,IF(E15&lt;=50,2,3)),IF(E15&lt;=19,2,3))),7,10,15)</f>
        <v>7</v>
      </c>
      <c r="H15" s="3" t="s">
        <v>328</v>
      </c>
    </row>
  </sheetData>
  <autoFilter ref="A1:H15"/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8"/>
    <col collapsed="false" customWidth="true" hidden="false" outlineLevel="0" max="5" min="3" style="0" width="12"/>
    <col collapsed="false" customWidth="true" hidden="false" outlineLevel="0" max="6" min="6" style="0" width="18"/>
    <col collapsed="false" customWidth="true" hidden="false" outlineLevel="0" max="7" min="7" style="0" width="12"/>
    <col collapsed="false" customWidth="true" hidden="false" outlineLevel="0" max="8" min="8" style="0" width="35"/>
    <col collapsed="false" customWidth="true" hidden="false" outlineLevel="0" max="9" min="9" style="0" width="22"/>
  </cols>
  <sheetData>
    <row r="1" customFormat="false" ht="15" hidden="false" customHeight="false" outlineLevel="0" collapsed="false">
      <c r="A1" s="1" t="s">
        <v>29</v>
      </c>
      <c r="B1" s="1" t="s">
        <v>329</v>
      </c>
      <c r="C1" s="1" t="s">
        <v>281</v>
      </c>
      <c r="D1" s="1" t="s">
        <v>330</v>
      </c>
      <c r="E1" s="1" t="s">
        <v>283</v>
      </c>
      <c r="F1" s="1" t="s">
        <v>284</v>
      </c>
      <c r="G1" s="1" t="s">
        <v>285</v>
      </c>
      <c r="H1" s="1" t="s">
        <v>331</v>
      </c>
      <c r="I1" s="1" t="s">
        <v>139</v>
      </c>
    </row>
    <row r="2" customFormat="false" ht="15" hidden="false" customHeight="false" outlineLevel="0" collapsed="false">
      <c r="A2" s="2" t="s">
        <v>332</v>
      </c>
      <c r="B2" s="2" t="s">
        <v>333</v>
      </c>
      <c r="C2" s="2" t="s">
        <v>334</v>
      </c>
      <c r="D2" s="2" t="n">
        <v>1</v>
      </c>
      <c r="E2" s="2" t="n">
        <v>6</v>
      </c>
      <c r="F2" s="2" t="str">
        <f aca="false">CHOOSE(IF(C2="EI",IF(D2&lt;=1,IF(E2&lt;=15,1,2),IF(D2=2,IF(E2&lt;=4,1,IF(E2&lt;=15,2,3)),IF(E2&lt;=4,2,3))),IF(D2&lt;=1,IF(E2&lt;=19,1,2),IF(D2&lt;=3,IF(E2&lt;=5,1,IF(E2&lt;=19,2,3)),IF(E2&lt;=5,2,3)))),"Низкая","Средняя","Высокая")</f>
        <v>Низкая</v>
      </c>
      <c r="G2" s="2" t="n">
        <f aca="false">IF(C2="EI",CHOOSE(IF(C2="EI",IF(D2&lt;=1,IF(E2&lt;=15,1,2),IF(D2=2,IF(E2&lt;=4,1,IF(E2&lt;=15,2,3)),IF(E2&lt;=4,2,3))),IF(D2&lt;=1,IF(E2&lt;=19,1,2),IF(D2&lt;=3,IF(E2&lt;=5,1,IF(E2&lt;=19,2,3)),IF(E2&lt;=5,2,3)))),3,4,6),IF(C2="EO",CHOOSE(IF(C2="EI",IF(D2&lt;=1,IF(E2&lt;=15,1,2),IF(D2=2,IF(E2&lt;=4,1,IF(E2&lt;=15,2,3)),IF(E2&lt;=4,2,3))),IF(D2&lt;=1,IF(E2&lt;=19,1,2),IF(D2&lt;=3,IF(E2&lt;=5,1,IF(E2&lt;=19,2,3)),IF(E2&lt;=5,2,3)))),4,5,7),CHOOSE(IF(C2="EI",IF(D2&lt;=1,IF(E2&lt;=15,1,2),IF(D2=2,IF(E2&lt;=4,1,IF(E2&lt;=15,2,3)),IF(E2&lt;=4,2,3))),IF(D2&lt;=1,IF(E2&lt;=19,1,2),IF(D2&lt;=3,IF(E2&lt;=5,1,IF(E2&lt;=19,2,3)),IF(E2&lt;=5,2,3)))),3,4,6)))</f>
        <v>3</v>
      </c>
      <c r="H2" s="2" t="s">
        <v>287</v>
      </c>
      <c r="I2" s="2" t="s">
        <v>34</v>
      </c>
    </row>
    <row r="3" customFormat="false" ht="15" hidden="false" customHeight="false" outlineLevel="0" collapsed="false">
      <c r="A3" s="3" t="s">
        <v>335</v>
      </c>
      <c r="B3" s="3" t="s">
        <v>336</v>
      </c>
      <c r="C3" s="3" t="s">
        <v>334</v>
      </c>
      <c r="D3" s="3" t="n">
        <v>1</v>
      </c>
      <c r="E3" s="3" t="n">
        <v>2</v>
      </c>
      <c r="F3" s="3" t="str">
        <f aca="false">CHOOSE(IF(C3="EI",IF(D3&lt;=1,IF(E3&lt;=15,1,2),IF(D3=2,IF(E3&lt;=4,1,IF(E3&lt;=15,2,3)),IF(E3&lt;=4,2,3))),IF(D3&lt;=1,IF(E3&lt;=19,1,2),IF(D3&lt;=3,IF(E3&lt;=5,1,IF(E3&lt;=19,2,3)),IF(E3&lt;=5,2,3)))),"Низкая","Средняя","Высокая")</f>
        <v>Низкая</v>
      </c>
      <c r="G3" s="3" t="n">
        <f aca="false">IF(C3="EI",CHOOSE(IF(C3="EI",IF(D3&lt;=1,IF(E3&lt;=15,1,2),IF(D3=2,IF(E3&lt;=4,1,IF(E3&lt;=15,2,3)),IF(E3&lt;=4,2,3))),IF(D3&lt;=1,IF(E3&lt;=19,1,2),IF(D3&lt;=3,IF(E3&lt;=5,1,IF(E3&lt;=19,2,3)),IF(E3&lt;=5,2,3)))),3,4,6),IF(C3="EO",CHOOSE(IF(C3="EI",IF(D3&lt;=1,IF(E3&lt;=15,1,2),IF(D3=2,IF(E3&lt;=4,1,IF(E3&lt;=15,2,3)),IF(E3&lt;=4,2,3))),IF(D3&lt;=1,IF(E3&lt;=19,1,2),IF(D3&lt;=3,IF(E3&lt;=5,1,IF(E3&lt;=19,2,3)),IF(E3&lt;=5,2,3)))),4,5,7),CHOOSE(IF(C3="EI",IF(D3&lt;=1,IF(E3&lt;=15,1,2),IF(D3=2,IF(E3&lt;=4,1,IF(E3&lt;=15,2,3)),IF(E3&lt;=4,2,3))),IF(D3&lt;=1,IF(E3&lt;=19,1,2),IF(D3&lt;=3,IF(E3&lt;=5,1,IF(E3&lt;=19,2,3)),IF(E3&lt;=5,2,3)))),3,4,6)))</f>
        <v>3</v>
      </c>
      <c r="H3" s="3" t="s">
        <v>287</v>
      </c>
      <c r="I3" s="3" t="s">
        <v>34</v>
      </c>
    </row>
    <row r="4" customFormat="false" ht="15" hidden="false" customHeight="false" outlineLevel="0" collapsed="false">
      <c r="A4" s="2" t="s">
        <v>337</v>
      </c>
      <c r="B4" s="2" t="s">
        <v>338</v>
      </c>
      <c r="C4" s="2" t="s">
        <v>334</v>
      </c>
      <c r="D4" s="2" t="n">
        <v>1</v>
      </c>
      <c r="E4" s="2" t="n">
        <v>3</v>
      </c>
      <c r="F4" s="2" t="str">
        <f aca="false">CHOOSE(IF(C4="EI",IF(D4&lt;=1,IF(E4&lt;=15,1,2),IF(D4=2,IF(E4&lt;=4,1,IF(E4&lt;=15,2,3)),IF(E4&lt;=4,2,3))),IF(D4&lt;=1,IF(E4&lt;=19,1,2),IF(D4&lt;=3,IF(E4&lt;=5,1,IF(E4&lt;=19,2,3)),IF(E4&lt;=5,2,3)))),"Низкая","Средняя","Высокая")</f>
        <v>Низкая</v>
      </c>
      <c r="G4" s="2" t="n">
        <f aca="false">IF(C4="EI",CHOOSE(IF(C4="EI",IF(D4&lt;=1,IF(E4&lt;=15,1,2),IF(D4=2,IF(E4&lt;=4,1,IF(E4&lt;=15,2,3)),IF(E4&lt;=4,2,3))),IF(D4&lt;=1,IF(E4&lt;=19,1,2),IF(D4&lt;=3,IF(E4&lt;=5,1,IF(E4&lt;=19,2,3)),IF(E4&lt;=5,2,3)))),3,4,6),IF(C4="EO",CHOOSE(IF(C4="EI",IF(D4&lt;=1,IF(E4&lt;=15,1,2),IF(D4=2,IF(E4&lt;=4,1,IF(E4&lt;=15,2,3)),IF(E4&lt;=4,2,3))),IF(D4&lt;=1,IF(E4&lt;=19,1,2),IF(D4&lt;=3,IF(E4&lt;=5,1,IF(E4&lt;=19,2,3)),IF(E4&lt;=5,2,3)))),4,5,7),CHOOSE(IF(C4="EI",IF(D4&lt;=1,IF(E4&lt;=15,1,2),IF(D4=2,IF(E4&lt;=4,1,IF(E4&lt;=15,2,3)),IF(E4&lt;=4,2,3))),IF(D4&lt;=1,IF(E4&lt;=19,1,2),IF(D4&lt;=3,IF(E4&lt;=5,1,IF(E4&lt;=19,2,3)),IF(E4&lt;=5,2,3)))),3,4,6)))</f>
        <v>3</v>
      </c>
      <c r="H4" s="2" t="s">
        <v>287</v>
      </c>
      <c r="I4" s="2" t="s">
        <v>39</v>
      </c>
    </row>
    <row r="5" customFormat="false" ht="15" hidden="false" customHeight="false" outlineLevel="0" collapsed="false">
      <c r="A5" s="3" t="s">
        <v>339</v>
      </c>
      <c r="B5" s="3" t="s">
        <v>340</v>
      </c>
      <c r="C5" s="3" t="s">
        <v>334</v>
      </c>
      <c r="D5" s="3" t="n">
        <v>1</v>
      </c>
      <c r="E5" s="3" t="n">
        <v>1</v>
      </c>
      <c r="F5" s="3" t="str">
        <f aca="false">CHOOSE(IF(C5="EI",IF(D5&lt;=1,IF(E5&lt;=15,1,2),IF(D5=2,IF(E5&lt;=4,1,IF(E5&lt;=15,2,3)),IF(E5&lt;=4,2,3))),IF(D5&lt;=1,IF(E5&lt;=19,1,2),IF(D5&lt;=3,IF(E5&lt;=5,1,IF(E5&lt;=19,2,3)),IF(E5&lt;=5,2,3)))),"Низкая","Средняя","Высокая")</f>
        <v>Низкая</v>
      </c>
      <c r="G5" s="3" t="n">
        <f aca="false">IF(C5="EI",CHOOSE(IF(C5="EI",IF(D5&lt;=1,IF(E5&lt;=15,1,2),IF(D5=2,IF(E5&lt;=4,1,IF(E5&lt;=15,2,3)),IF(E5&lt;=4,2,3))),IF(D5&lt;=1,IF(E5&lt;=19,1,2),IF(D5&lt;=3,IF(E5&lt;=5,1,IF(E5&lt;=19,2,3)),IF(E5&lt;=5,2,3)))),3,4,6),IF(C5="EO",CHOOSE(IF(C5="EI",IF(D5&lt;=1,IF(E5&lt;=15,1,2),IF(D5=2,IF(E5&lt;=4,1,IF(E5&lt;=15,2,3)),IF(E5&lt;=4,2,3))),IF(D5&lt;=1,IF(E5&lt;=19,1,2),IF(D5&lt;=3,IF(E5&lt;=5,1,IF(E5&lt;=19,2,3)),IF(E5&lt;=5,2,3)))),4,5,7),CHOOSE(IF(C5="EI",IF(D5&lt;=1,IF(E5&lt;=15,1,2),IF(D5=2,IF(E5&lt;=4,1,IF(E5&lt;=15,2,3)),IF(E5&lt;=4,2,3))),IF(D5&lt;=1,IF(E5&lt;=19,1,2),IF(D5&lt;=3,IF(E5&lt;=5,1,IF(E5&lt;=19,2,3)),IF(E5&lt;=5,2,3)))),3,4,6)))</f>
        <v>3</v>
      </c>
      <c r="H5" s="3" t="s">
        <v>287</v>
      </c>
      <c r="I5" s="3" t="s">
        <v>39</v>
      </c>
    </row>
    <row r="6" customFormat="false" ht="15" hidden="false" customHeight="false" outlineLevel="0" collapsed="false">
      <c r="A6" s="2" t="s">
        <v>341</v>
      </c>
      <c r="B6" s="2" t="s">
        <v>342</v>
      </c>
      <c r="C6" s="2" t="s">
        <v>334</v>
      </c>
      <c r="D6" s="2" t="n">
        <v>1</v>
      </c>
      <c r="E6" s="2" t="n">
        <v>2</v>
      </c>
      <c r="F6" s="2" t="str">
        <f aca="false">CHOOSE(IF(C6="EI",IF(D6&lt;=1,IF(E6&lt;=15,1,2),IF(D6=2,IF(E6&lt;=4,1,IF(E6&lt;=15,2,3)),IF(E6&lt;=4,2,3))),IF(D6&lt;=1,IF(E6&lt;=19,1,2),IF(D6&lt;=3,IF(E6&lt;=5,1,IF(E6&lt;=19,2,3)),IF(E6&lt;=5,2,3)))),"Низкая","Средняя","Высокая")</f>
        <v>Низкая</v>
      </c>
      <c r="G6" s="2" t="n">
        <f aca="false">IF(C6="EI",CHOOSE(IF(C6="EI",IF(D6&lt;=1,IF(E6&lt;=15,1,2),IF(D6=2,IF(E6&lt;=4,1,IF(E6&lt;=15,2,3)),IF(E6&lt;=4,2,3))),IF(D6&lt;=1,IF(E6&lt;=19,1,2),IF(D6&lt;=3,IF(E6&lt;=5,1,IF(E6&lt;=19,2,3)),IF(E6&lt;=5,2,3)))),3,4,6),IF(C6="EO",CHOOSE(IF(C6="EI",IF(D6&lt;=1,IF(E6&lt;=15,1,2),IF(D6=2,IF(E6&lt;=4,1,IF(E6&lt;=15,2,3)),IF(E6&lt;=4,2,3))),IF(D6&lt;=1,IF(E6&lt;=19,1,2),IF(D6&lt;=3,IF(E6&lt;=5,1,IF(E6&lt;=19,2,3)),IF(E6&lt;=5,2,3)))),4,5,7),CHOOSE(IF(C6="EI",IF(D6&lt;=1,IF(E6&lt;=15,1,2),IF(D6=2,IF(E6&lt;=4,1,IF(E6&lt;=15,2,3)),IF(E6&lt;=4,2,3))),IF(D6&lt;=1,IF(E6&lt;=19,1,2),IF(D6&lt;=3,IF(E6&lt;=5,1,IF(E6&lt;=19,2,3)),IF(E6&lt;=5,2,3)))),3,4,6)))</f>
        <v>3</v>
      </c>
      <c r="H6" s="2" t="s">
        <v>287</v>
      </c>
      <c r="I6" s="2" t="s">
        <v>39</v>
      </c>
    </row>
    <row r="7" customFormat="false" ht="15" hidden="false" customHeight="false" outlineLevel="0" collapsed="false">
      <c r="A7" s="3" t="s">
        <v>343</v>
      </c>
      <c r="B7" s="3" t="s">
        <v>344</v>
      </c>
      <c r="C7" s="3" t="s">
        <v>334</v>
      </c>
      <c r="D7" s="3" t="n">
        <v>1</v>
      </c>
      <c r="E7" s="3" t="n">
        <v>3</v>
      </c>
      <c r="F7" s="3" t="str">
        <f aca="false">CHOOSE(IF(C7="EI",IF(D7&lt;=1,IF(E7&lt;=15,1,2),IF(D7=2,IF(E7&lt;=4,1,IF(E7&lt;=15,2,3)),IF(E7&lt;=4,2,3))),IF(D7&lt;=1,IF(E7&lt;=19,1,2),IF(D7&lt;=3,IF(E7&lt;=5,1,IF(E7&lt;=19,2,3)),IF(E7&lt;=5,2,3)))),"Низкая","Средняя","Высокая")</f>
        <v>Низкая</v>
      </c>
      <c r="G7" s="3" t="n">
        <f aca="false">IF(C7="EI",CHOOSE(IF(C7="EI",IF(D7&lt;=1,IF(E7&lt;=15,1,2),IF(D7=2,IF(E7&lt;=4,1,IF(E7&lt;=15,2,3)),IF(E7&lt;=4,2,3))),IF(D7&lt;=1,IF(E7&lt;=19,1,2),IF(D7&lt;=3,IF(E7&lt;=5,1,IF(E7&lt;=19,2,3)),IF(E7&lt;=5,2,3)))),3,4,6),IF(C7="EO",CHOOSE(IF(C7="EI",IF(D7&lt;=1,IF(E7&lt;=15,1,2),IF(D7=2,IF(E7&lt;=4,1,IF(E7&lt;=15,2,3)),IF(E7&lt;=4,2,3))),IF(D7&lt;=1,IF(E7&lt;=19,1,2),IF(D7&lt;=3,IF(E7&lt;=5,1,IF(E7&lt;=19,2,3)),IF(E7&lt;=5,2,3)))),4,5,7),CHOOSE(IF(C7="EI",IF(D7&lt;=1,IF(E7&lt;=15,1,2),IF(D7=2,IF(E7&lt;=4,1,IF(E7&lt;=15,2,3)),IF(E7&lt;=4,2,3))),IF(D7&lt;=1,IF(E7&lt;=19,1,2),IF(D7&lt;=3,IF(E7&lt;=5,1,IF(E7&lt;=19,2,3)),IF(E7&lt;=5,2,3)))),3,4,6)))</f>
        <v>3</v>
      </c>
      <c r="H7" s="3" t="s">
        <v>287</v>
      </c>
      <c r="I7" s="3" t="s">
        <v>39</v>
      </c>
    </row>
    <row r="8" customFormat="false" ht="15" hidden="false" customHeight="false" outlineLevel="0" collapsed="false">
      <c r="A8" s="2" t="s">
        <v>345</v>
      </c>
      <c r="B8" s="2" t="s">
        <v>346</v>
      </c>
      <c r="C8" s="2" t="s">
        <v>334</v>
      </c>
      <c r="D8" s="2" t="n">
        <v>1</v>
      </c>
      <c r="E8" s="2" t="n">
        <v>10</v>
      </c>
      <c r="F8" s="2" t="str">
        <f aca="false">CHOOSE(IF(C8="EI",IF(D8&lt;=1,IF(E8&lt;=15,1,2),IF(D8=2,IF(E8&lt;=4,1,IF(E8&lt;=15,2,3)),IF(E8&lt;=4,2,3))),IF(D8&lt;=1,IF(E8&lt;=19,1,2),IF(D8&lt;=3,IF(E8&lt;=5,1,IF(E8&lt;=19,2,3)),IF(E8&lt;=5,2,3)))),"Низкая","Средняя","Высокая")</f>
        <v>Низкая</v>
      </c>
      <c r="G8" s="2" t="n">
        <f aca="false">IF(C8="EI",CHOOSE(IF(C8="EI",IF(D8&lt;=1,IF(E8&lt;=15,1,2),IF(D8=2,IF(E8&lt;=4,1,IF(E8&lt;=15,2,3)),IF(E8&lt;=4,2,3))),IF(D8&lt;=1,IF(E8&lt;=19,1,2),IF(D8&lt;=3,IF(E8&lt;=5,1,IF(E8&lt;=19,2,3)),IF(E8&lt;=5,2,3)))),3,4,6),IF(C8="EO",CHOOSE(IF(C8="EI",IF(D8&lt;=1,IF(E8&lt;=15,1,2),IF(D8=2,IF(E8&lt;=4,1,IF(E8&lt;=15,2,3)),IF(E8&lt;=4,2,3))),IF(D8&lt;=1,IF(E8&lt;=19,1,2),IF(D8&lt;=3,IF(E8&lt;=5,1,IF(E8&lt;=19,2,3)),IF(E8&lt;=5,2,3)))),4,5,7),CHOOSE(IF(C8="EI",IF(D8&lt;=1,IF(E8&lt;=15,1,2),IF(D8=2,IF(E8&lt;=4,1,IF(E8&lt;=15,2,3)),IF(E8&lt;=4,2,3))),IF(D8&lt;=1,IF(E8&lt;=19,1,2),IF(D8&lt;=3,IF(E8&lt;=5,1,IF(E8&lt;=19,2,3)),IF(E8&lt;=5,2,3)))),3,4,6)))</f>
        <v>3</v>
      </c>
      <c r="H8" s="2" t="s">
        <v>287</v>
      </c>
      <c r="I8" s="2" t="s">
        <v>43</v>
      </c>
    </row>
    <row r="9" customFormat="false" ht="15" hidden="false" customHeight="false" outlineLevel="0" collapsed="false">
      <c r="A9" s="3" t="s">
        <v>347</v>
      </c>
      <c r="B9" s="3" t="s">
        <v>348</v>
      </c>
      <c r="C9" s="3" t="s">
        <v>349</v>
      </c>
      <c r="D9" s="3" t="n">
        <v>1</v>
      </c>
      <c r="E9" s="3" t="n">
        <v>12</v>
      </c>
      <c r="F9" s="3" t="str">
        <f aca="false">CHOOSE(IF(C9="EI",IF(D9&lt;=1,IF(E9&lt;=15,1,2),IF(D9=2,IF(E9&lt;=4,1,IF(E9&lt;=15,2,3)),IF(E9&lt;=4,2,3))),IF(D9&lt;=1,IF(E9&lt;=19,1,2),IF(D9&lt;=3,IF(E9&lt;=5,1,IF(E9&lt;=19,2,3)),IF(E9&lt;=5,2,3)))),"Низкая","Средняя","Высокая")</f>
        <v>Низкая</v>
      </c>
      <c r="G9" s="3" t="n">
        <f aca="false">IF(C9="EI",CHOOSE(IF(C9="EI",IF(D9&lt;=1,IF(E9&lt;=15,1,2),IF(D9=2,IF(E9&lt;=4,1,IF(E9&lt;=15,2,3)),IF(E9&lt;=4,2,3))),IF(D9&lt;=1,IF(E9&lt;=19,1,2),IF(D9&lt;=3,IF(E9&lt;=5,1,IF(E9&lt;=19,2,3)),IF(E9&lt;=5,2,3)))),3,4,6),IF(C9="EO",CHOOSE(IF(C9="EI",IF(D9&lt;=1,IF(E9&lt;=15,1,2),IF(D9=2,IF(E9&lt;=4,1,IF(E9&lt;=15,2,3)),IF(E9&lt;=4,2,3))),IF(D9&lt;=1,IF(E9&lt;=19,1,2),IF(D9&lt;=3,IF(E9&lt;=5,1,IF(E9&lt;=19,2,3)),IF(E9&lt;=5,2,3)))),4,5,7),CHOOSE(IF(C9="EI",IF(D9&lt;=1,IF(E9&lt;=15,1,2),IF(D9=2,IF(E9&lt;=4,1,IF(E9&lt;=15,2,3)),IF(E9&lt;=4,2,3))),IF(D9&lt;=1,IF(E9&lt;=19,1,2),IF(D9&lt;=3,IF(E9&lt;=5,1,IF(E9&lt;=19,2,3)),IF(E9&lt;=5,2,3)))),3,4,6)))</f>
        <v>3</v>
      </c>
      <c r="H9" s="3" t="s">
        <v>287</v>
      </c>
      <c r="I9" s="3" t="s">
        <v>43</v>
      </c>
    </row>
    <row r="10" customFormat="false" ht="15" hidden="false" customHeight="false" outlineLevel="0" collapsed="false">
      <c r="A10" s="2" t="s">
        <v>350</v>
      </c>
      <c r="B10" s="2" t="s">
        <v>351</v>
      </c>
      <c r="C10" s="2" t="s">
        <v>349</v>
      </c>
      <c r="D10" s="2" t="n">
        <v>2</v>
      </c>
      <c r="E10" s="2" t="n">
        <v>12</v>
      </c>
      <c r="F10" s="2" t="str">
        <f aca="false">CHOOSE(IF(C10="EI",IF(D10&lt;=1,IF(E10&lt;=15,1,2),IF(D10=2,IF(E10&lt;=4,1,IF(E10&lt;=15,2,3)),IF(E10&lt;=4,2,3))),IF(D10&lt;=1,IF(E10&lt;=19,1,2),IF(D10&lt;=3,IF(E10&lt;=5,1,IF(E10&lt;=19,2,3)),IF(E10&lt;=5,2,3)))),"Низкая","Средняя","Высокая")</f>
        <v>Средняя</v>
      </c>
      <c r="G10" s="2" t="n">
        <f aca="false">IF(C10="EI",CHOOSE(IF(C10="EI",IF(D10&lt;=1,IF(E10&lt;=15,1,2),IF(D10=2,IF(E10&lt;=4,1,IF(E10&lt;=15,2,3)),IF(E10&lt;=4,2,3))),IF(D10&lt;=1,IF(E10&lt;=19,1,2),IF(D10&lt;=3,IF(E10&lt;=5,1,IF(E10&lt;=19,2,3)),IF(E10&lt;=5,2,3)))),3,4,6),IF(C10="EO",CHOOSE(IF(C10="EI",IF(D10&lt;=1,IF(E10&lt;=15,1,2),IF(D10=2,IF(E10&lt;=4,1,IF(E10&lt;=15,2,3)),IF(E10&lt;=4,2,3))),IF(D10&lt;=1,IF(E10&lt;=19,1,2),IF(D10&lt;=3,IF(E10&lt;=5,1,IF(E10&lt;=19,2,3)),IF(E10&lt;=5,2,3)))),4,5,7),CHOOSE(IF(C10="EI",IF(D10&lt;=1,IF(E10&lt;=15,1,2),IF(D10=2,IF(E10&lt;=4,1,IF(E10&lt;=15,2,3)),IF(E10&lt;=4,2,3))),IF(D10&lt;=1,IF(E10&lt;=19,1,2),IF(D10&lt;=3,IF(E10&lt;=5,1,IF(E10&lt;=19,2,3)),IF(E10&lt;=5,2,3)))),3,4,6)))</f>
        <v>4</v>
      </c>
      <c r="H10" s="2" t="s">
        <v>352</v>
      </c>
      <c r="I10" s="2" t="s">
        <v>47</v>
      </c>
    </row>
    <row r="11" customFormat="false" ht="15" hidden="false" customHeight="false" outlineLevel="0" collapsed="false">
      <c r="A11" s="3" t="s">
        <v>353</v>
      </c>
      <c r="B11" s="3" t="s">
        <v>354</v>
      </c>
      <c r="C11" s="3" t="s">
        <v>349</v>
      </c>
      <c r="D11" s="3" t="n">
        <v>4</v>
      </c>
      <c r="E11" s="3" t="n">
        <v>22</v>
      </c>
      <c r="F11" s="3" t="str">
        <f aca="false">CHOOSE(IF(C11="EI",IF(D11&lt;=1,IF(E11&lt;=15,1,2),IF(D11=2,IF(E11&lt;=4,1,IF(E11&lt;=15,2,3)),IF(E11&lt;=4,2,3))),IF(D11&lt;=1,IF(E11&lt;=19,1,2),IF(D11&lt;=3,IF(E11&lt;=5,1,IF(E11&lt;=19,2,3)),IF(E11&lt;=5,2,3)))),"Низкая","Средняя","Высокая")</f>
        <v>Высокая</v>
      </c>
      <c r="G11" s="3" t="n">
        <f aca="false">IF(C11="EI",CHOOSE(IF(C11="EI",IF(D11&lt;=1,IF(E11&lt;=15,1,2),IF(D11=2,IF(E11&lt;=4,1,IF(E11&lt;=15,2,3)),IF(E11&lt;=4,2,3))),IF(D11&lt;=1,IF(E11&lt;=19,1,2),IF(D11&lt;=3,IF(E11&lt;=5,1,IF(E11&lt;=19,2,3)),IF(E11&lt;=5,2,3)))),3,4,6),IF(C11="EO",CHOOSE(IF(C11="EI",IF(D11&lt;=1,IF(E11&lt;=15,1,2),IF(D11=2,IF(E11&lt;=4,1,IF(E11&lt;=15,2,3)),IF(E11&lt;=4,2,3))),IF(D11&lt;=1,IF(E11&lt;=19,1,2),IF(D11&lt;=3,IF(E11&lt;=5,1,IF(E11&lt;=19,2,3)),IF(E11&lt;=5,2,3)))),4,5,7),CHOOSE(IF(C11="EI",IF(D11&lt;=1,IF(E11&lt;=15,1,2),IF(D11=2,IF(E11&lt;=4,1,IF(E11&lt;=15,2,3)),IF(E11&lt;=4,2,3))),IF(D11&lt;=1,IF(E11&lt;=19,1,2),IF(D11&lt;=3,IF(E11&lt;=5,1,IF(E11&lt;=19,2,3)),IF(E11&lt;=5,2,3)))),3,4,6)))</f>
        <v>6</v>
      </c>
      <c r="H11" s="3" t="s">
        <v>355</v>
      </c>
      <c r="I11" s="3" t="s">
        <v>52</v>
      </c>
    </row>
    <row r="12" customFormat="false" ht="15" hidden="false" customHeight="false" outlineLevel="0" collapsed="false">
      <c r="A12" s="2" t="s">
        <v>356</v>
      </c>
      <c r="B12" s="2" t="s">
        <v>357</v>
      </c>
      <c r="C12" s="2" t="s">
        <v>334</v>
      </c>
      <c r="D12" s="2" t="n">
        <v>3</v>
      </c>
      <c r="E12" s="2" t="n">
        <v>3</v>
      </c>
      <c r="F12" s="2" t="str">
        <f aca="false">CHOOSE(IF(C12="EI",IF(D12&lt;=1,IF(E12&lt;=15,1,2),IF(D12=2,IF(E12&lt;=4,1,IF(E12&lt;=15,2,3)),IF(E12&lt;=4,2,3))),IF(D12&lt;=1,IF(E12&lt;=19,1,2),IF(D12&lt;=3,IF(E12&lt;=5,1,IF(E12&lt;=19,2,3)),IF(E12&lt;=5,2,3)))),"Низкая","Средняя","Высокая")</f>
        <v>Средняя</v>
      </c>
      <c r="G12" s="2" t="n">
        <f aca="false">IF(C12="EI",CHOOSE(IF(C12="EI",IF(D12&lt;=1,IF(E12&lt;=15,1,2),IF(D12=2,IF(E12&lt;=4,1,IF(E12&lt;=15,2,3)),IF(E12&lt;=4,2,3))),IF(D12&lt;=1,IF(E12&lt;=19,1,2),IF(D12&lt;=3,IF(E12&lt;=5,1,IF(E12&lt;=19,2,3)),IF(E12&lt;=5,2,3)))),3,4,6),IF(C12="EO",CHOOSE(IF(C12="EI",IF(D12&lt;=1,IF(E12&lt;=15,1,2),IF(D12=2,IF(E12&lt;=4,1,IF(E12&lt;=15,2,3)),IF(E12&lt;=4,2,3))),IF(D12&lt;=1,IF(E12&lt;=19,1,2),IF(D12&lt;=3,IF(E12&lt;=5,1,IF(E12&lt;=19,2,3)),IF(E12&lt;=5,2,3)))),4,5,7),CHOOSE(IF(C12="EI",IF(D12&lt;=1,IF(E12&lt;=15,1,2),IF(D12=2,IF(E12&lt;=4,1,IF(E12&lt;=15,2,3)),IF(E12&lt;=4,2,3))),IF(D12&lt;=1,IF(E12&lt;=19,1,2),IF(D12&lt;=3,IF(E12&lt;=5,1,IF(E12&lt;=19,2,3)),IF(E12&lt;=5,2,3)))),3,4,6)))</f>
        <v>4</v>
      </c>
      <c r="H12" s="2" t="s">
        <v>358</v>
      </c>
      <c r="I12" s="2" t="s">
        <v>56</v>
      </c>
    </row>
    <row r="13" customFormat="false" ht="15" hidden="false" customHeight="false" outlineLevel="0" collapsed="false">
      <c r="A13" s="3" t="s">
        <v>359</v>
      </c>
      <c r="B13" s="3" t="s">
        <v>360</v>
      </c>
      <c r="C13" s="3" t="s">
        <v>349</v>
      </c>
      <c r="D13" s="3" t="n">
        <v>2</v>
      </c>
      <c r="E13" s="3" t="n">
        <v>10</v>
      </c>
      <c r="F13" s="3" t="str">
        <f aca="false">CHOOSE(IF(C13="EI",IF(D13&lt;=1,IF(E13&lt;=15,1,2),IF(D13=2,IF(E13&lt;=4,1,IF(E13&lt;=15,2,3)),IF(E13&lt;=4,2,3))),IF(D13&lt;=1,IF(E13&lt;=19,1,2),IF(D13&lt;=3,IF(E13&lt;=5,1,IF(E13&lt;=19,2,3)),IF(E13&lt;=5,2,3)))),"Низкая","Средняя","Высокая")</f>
        <v>Средняя</v>
      </c>
      <c r="G13" s="3" t="n">
        <f aca="false">IF(C13="EI",CHOOSE(IF(C13="EI",IF(D13&lt;=1,IF(E13&lt;=15,1,2),IF(D13=2,IF(E13&lt;=4,1,IF(E13&lt;=15,2,3)),IF(E13&lt;=4,2,3))),IF(D13&lt;=1,IF(E13&lt;=19,1,2),IF(D13&lt;=3,IF(E13&lt;=5,1,IF(E13&lt;=19,2,3)),IF(E13&lt;=5,2,3)))),3,4,6),IF(C13="EO",CHOOSE(IF(C13="EI",IF(D13&lt;=1,IF(E13&lt;=15,1,2),IF(D13=2,IF(E13&lt;=4,1,IF(E13&lt;=15,2,3)),IF(E13&lt;=4,2,3))),IF(D13&lt;=1,IF(E13&lt;=19,1,2),IF(D13&lt;=3,IF(E13&lt;=5,1,IF(E13&lt;=19,2,3)),IF(E13&lt;=5,2,3)))),4,5,7),CHOOSE(IF(C13="EI",IF(D13&lt;=1,IF(E13&lt;=15,1,2),IF(D13=2,IF(E13&lt;=4,1,IF(E13&lt;=15,2,3)),IF(E13&lt;=4,2,3))),IF(D13&lt;=1,IF(E13&lt;=19,1,2),IF(D13&lt;=3,IF(E13&lt;=5,1,IF(E13&lt;=19,2,3)),IF(E13&lt;=5,2,3)))),3,4,6)))</f>
        <v>4</v>
      </c>
      <c r="H13" s="3" t="s">
        <v>361</v>
      </c>
      <c r="I13" s="3" t="s">
        <v>56</v>
      </c>
    </row>
    <row r="14" customFormat="false" ht="15" hidden="false" customHeight="false" outlineLevel="0" collapsed="false">
      <c r="A14" s="2" t="s">
        <v>362</v>
      </c>
      <c r="B14" s="2" t="s">
        <v>363</v>
      </c>
      <c r="C14" s="2" t="s">
        <v>349</v>
      </c>
      <c r="D14" s="2" t="n">
        <v>3</v>
      </c>
      <c r="E14" s="2" t="n">
        <v>14</v>
      </c>
      <c r="F14" s="2" t="str">
        <f aca="false">CHOOSE(IF(C14="EI",IF(D14&lt;=1,IF(E14&lt;=15,1,2),IF(D14=2,IF(E14&lt;=4,1,IF(E14&lt;=15,2,3)),IF(E14&lt;=4,2,3))),IF(D14&lt;=1,IF(E14&lt;=19,1,2),IF(D14&lt;=3,IF(E14&lt;=5,1,IF(E14&lt;=19,2,3)),IF(E14&lt;=5,2,3)))),"Низкая","Средняя","Высокая")</f>
        <v>Средняя</v>
      </c>
      <c r="G14" s="2" t="n">
        <f aca="false">IF(C14="EI",CHOOSE(IF(C14="EI",IF(D14&lt;=1,IF(E14&lt;=15,1,2),IF(D14=2,IF(E14&lt;=4,1,IF(E14&lt;=15,2,3)),IF(E14&lt;=4,2,3))),IF(D14&lt;=1,IF(E14&lt;=19,1,2),IF(D14&lt;=3,IF(E14&lt;=5,1,IF(E14&lt;=19,2,3)),IF(E14&lt;=5,2,3)))),3,4,6),IF(C14="EO",CHOOSE(IF(C14="EI",IF(D14&lt;=1,IF(E14&lt;=15,1,2),IF(D14=2,IF(E14&lt;=4,1,IF(E14&lt;=15,2,3)),IF(E14&lt;=4,2,3))),IF(D14&lt;=1,IF(E14&lt;=19,1,2),IF(D14&lt;=3,IF(E14&lt;=5,1,IF(E14&lt;=19,2,3)),IF(E14&lt;=5,2,3)))),4,5,7),CHOOSE(IF(C14="EI",IF(D14&lt;=1,IF(E14&lt;=15,1,2),IF(D14=2,IF(E14&lt;=4,1,IF(E14&lt;=15,2,3)),IF(E14&lt;=4,2,3))),IF(D14&lt;=1,IF(E14&lt;=19,1,2),IF(D14&lt;=3,IF(E14&lt;=5,1,IF(E14&lt;=19,2,3)),IF(E14&lt;=5,2,3)))),3,4,6)))</f>
        <v>4</v>
      </c>
      <c r="H14" s="2" t="s">
        <v>364</v>
      </c>
      <c r="I14" s="2" t="s">
        <v>61</v>
      </c>
    </row>
    <row r="15" customFormat="false" ht="15" hidden="false" customHeight="false" outlineLevel="0" collapsed="false">
      <c r="A15" s="3" t="s">
        <v>365</v>
      </c>
      <c r="B15" s="3" t="s">
        <v>366</v>
      </c>
      <c r="C15" s="3" t="s">
        <v>334</v>
      </c>
      <c r="D15" s="3" t="n">
        <v>2</v>
      </c>
      <c r="E15" s="3" t="n">
        <v>3</v>
      </c>
      <c r="F15" s="3" t="str">
        <f aca="false">CHOOSE(IF(C15="EI",IF(D15&lt;=1,IF(E15&lt;=15,1,2),IF(D15=2,IF(E15&lt;=4,1,IF(E15&lt;=15,2,3)),IF(E15&lt;=4,2,3))),IF(D15&lt;=1,IF(E15&lt;=19,1,2),IF(D15&lt;=3,IF(E15&lt;=5,1,IF(E15&lt;=19,2,3)),IF(E15&lt;=5,2,3)))),"Низкая","Средняя","Высокая")</f>
        <v>Низкая</v>
      </c>
      <c r="G15" s="3" t="n">
        <f aca="false">IF(C15="EI",CHOOSE(IF(C15="EI",IF(D15&lt;=1,IF(E15&lt;=15,1,2),IF(D15=2,IF(E15&lt;=4,1,IF(E15&lt;=15,2,3)),IF(E15&lt;=4,2,3))),IF(D15&lt;=1,IF(E15&lt;=19,1,2),IF(D15&lt;=3,IF(E15&lt;=5,1,IF(E15&lt;=19,2,3)),IF(E15&lt;=5,2,3)))),3,4,6),IF(C15="EO",CHOOSE(IF(C15="EI",IF(D15&lt;=1,IF(E15&lt;=15,1,2),IF(D15=2,IF(E15&lt;=4,1,IF(E15&lt;=15,2,3)),IF(E15&lt;=4,2,3))),IF(D15&lt;=1,IF(E15&lt;=19,1,2),IF(D15&lt;=3,IF(E15&lt;=5,1,IF(E15&lt;=19,2,3)),IF(E15&lt;=5,2,3)))),4,5,7),CHOOSE(IF(C15="EI",IF(D15&lt;=1,IF(E15&lt;=15,1,2),IF(D15=2,IF(E15&lt;=4,1,IF(E15&lt;=15,2,3)),IF(E15&lt;=4,2,3))),IF(D15&lt;=1,IF(E15&lt;=19,1,2),IF(D15&lt;=3,IF(E15&lt;=5,1,IF(E15&lt;=19,2,3)),IF(E15&lt;=5,2,3)))),3,4,6)))</f>
        <v>3</v>
      </c>
      <c r="H15" s="3" t="s">
        <v>367</v>
      </c>
      <c r="I15" s="3" t="s">
        <v>61</v>
      </c>
    </row>
    <row r="16" customFormat="false" ht="15" hidden="false" customHeight="false" outlineLevel="0" collapsed="false">
      <c r="A16" s="2" t="s">
        <v>368</v>
      </c>
      <c r="B16" s="2" t="s">
        <v>369</v>
      </c>
      <c r="C16" s="2" t="s">
        <v>334</v>
      </c>
      <c r="D16" s="2" t="n">
        <v>3</v>
      </c>
      <c r="E16" s="2" t="n">
        <v>5</v>
      </c>
      <c r="F16" s="2" t="str">
        <f aca="false">CHOOSE(IF(C16="EI",IF(D16&lt;=1,IF(E16&lt;=15,1,2),IF(D16=2,IF(E16&lt;=4,1,IF(E16&lt;=15,2,3)),IF(E16&lt;=4,2,3))),IF(D16&lt;=1,IF(E16&lt;=19,1,2),IF(D16&lt;=3,IF(E16&lt;=5,1,IF(E16&lt;=19,2,3)),IF(E16&lt;=5,2,3)))),"Низкая","Средняя","Высокая")</f>
        <v>Высокая</v>
      </c>
      <c r="G16" s="2" t="n">
        <f aca="false">IF(C16="EI",CHOOSE(IF(C16="EI",IF(D16&lt;=1,IF(E16&lt;=15,1,2),IF(D16=2,IF(E16&lt;=4,1,IF(E16&lt;=15,2,3)),IF(E16&lt;=4,2,3))),IF(D16&lt;=1,IF(E16&lt;=19,1,2),IF(D16&lt;=3,IF(E16&lt;=5,1,IF(E16&lt;=19,2,3)),IF(E16&lt;=5,2,3)))),3,4,6),IF(C16="EO",CHOOSE(IF(C16="EI",IF(D16&lt;=1,IF(E16&lt;=15,1,2),IF(D16=2,IF(E16&lt;=4,1,IF(E16&lt;=15,2,3)),IF(E16&lt;=4,2,3))),IF(D16&lt;=1,IF(E16&lt;=19,1,2),IF(D16&lt;=3,IF(E16&lt;=5,1,IF(E16&lt;=19,2,3)),IF(E16&lt;=5,2,3)))),4,5,7),CHOOSE(IF(C16="EI",IF(D16&lt;=1,IF(E16&lt;=15,1,2),IF(D16=2,IF(E16&lt;=4,1,IF(E16&lt;=15,2,3)),IF(E16&lt;=4,2,3))),IF(D16&lt;=1,IF(E16&lt;=19,1,2),IF(D16&lt;=3,IF(E16&lt;=5,1,IF(E16&lt;=19,2,3)),IF(E16&lt;=5,2,3)))),3,4,6)))</f>
        <v>6</v>
      </c>
      <c r="H16" s="2" t="s">
        <v>370</v>
      </c>
      <c r="I16" s="2" t="s">
        <v>65</v>
      </c>
    </row>
    <row r="17" customFormat="false" ht="15" hidden="false" customHeight="false" outlineLevel="0" collapsed="false">
      <c r="A17" s="3" t="s">
        <v>371</v>
      </c>
      <c r="B17" s="3" t="s">
        <v>372</v>
      </c>
      <c r="C17" s="3" t="s">
        <v>334</v>
      </c>
      <c r="D17" s="3" t="n">
        <v>3</v>
      </c>
      <c r="E17" s="3" t="n">
        <v>6</v>
      </c>
      <c r="F17" s="3" t="str">
        <f aca="false">CHOOSE(IF(C17="EI",IF(D17&lt;=1,IF(E17&lt;=15,1,2),IF(D17=2,IF(E17&lt;=4,1,IF(E17&lt;=15,2,3)),IF(E17&lt;=4,2,3))),IF(D17&lt;=1,IF(E17&lt;=19,1,2),IF(D17&lt;=3,IF(E17&lt;=5,1,IF(E17&lt;=19,2,3)),IF(E17&lt;=5,2,3)))),"Низкая","Средняя","Высокая")</f>
        <v>Высокая</v>
      </c>
      <c r="G17" s="3" t="n">
        <f aca="false">IF(C17="EI",CHOOSE(IF(C17="EI",IF(D17&lt;=1,IF(E17&lt;=15,1,2),IF(D17=2,IF(E17&lt;=4,1,IF(E17&lt;=15,2,3)),IF(E17&lt;=4,2,3))),IF(D17&lt;=1,IF(E17&lt;=19,1,2),IF(D17&lt;=3,IF(E17&lt;=5,1,IF(E17&lt;=19,2,3)),IF(E17&lt;=5,2,3)))),3,4,6),IF(C17="EO",CHOOSE(IF(C17="EI",IF(D17&lt;=1,IF(E17&lt;=15,1,2),IF(D17=2,IF(E17&lt;=4,1,IF(E17&lt;=15,2,3)),IF(E17&lt;=4,2,3))),IF(D17&lt;=1,IF(E17&lt;=19,1,2),IF(D17&lt;=3,IF(E17&lt;=5,1,IF(E17&lt;=19,2,3)),IF(E17&lt;=5,2,3)))),4,5,7),CHOOSE(IF(C17="EI",IF(D17&lt;=1,IF(E17&lt;=15,1,2),IF(D17=2,IF(E17&lt;=4,1,IF(E17&lt;=15,2,3)),IF(E17&lt;=4,2,3))),IF(D17&lt;=1,IF(E17&lt;=19,1,2),IF(D17&lt;=3,IF(E17&lt;=5,1,IF(E17&lt;=19,2,3)),IF(E17&lt;=5,2,3)))),3,4,6)))</f>
        <v>6</v>
      </c>
      <c r="H17" s="3" t="s">
        <v>370</v>
      </c>
      <c r="I17" s="3" t="s">
        <v>69</v>
      </c>
    </row>
    <row r="18" customFormat="false" ht="15" hidden="false" customHeight="false" outlineLevel="0" collapsed="false">
      <c r="A18" s="2" t="s">
        <v>373</v>
      </c>
      <c r="B18" s="2" t="s">
        <v>374</v>
      </c>
      <c r="C18" s="2" t="s">
        <v>334</v>
      </c>
      <c r="D18" s="2" t="n">
        <v>2</v>
      </c>
      <c r="E18" s="2" t="n">
        <v>8</v>
      </c>
      <c r="F18" s="2" t="str">
        <f aca="false">CHOOSE(IF(C18="EI",IF(D18&lt;=1,IF(E18&lt;=15,1,2),IF(D18=2,IF(E18&lt;=4,1,IF(E18&lt;=15,2,3)),IF(E18&lt;=4,2,3))),IF(D18&lt;=1,IF(E18&lt;=19,1,2),IF(D18&lt;=3,IF(E18&lt;=5,1,IF(E18&lt;=19,2,3)),IF(E18&lt;=5,2,3)))),"Низкая","Средняя","Высокая")</f>
        <v>Средняя</v>
      </c>
      <c r="G18" s="2" t="n">
        <f aca="false">IF(C18="EI",CHOOSE(IF(C18="EI",IF(D18&lt;=1,IF(E18&lt;=15,1,2),IF(D18=2,IF(E18&lt;=4,1,IF(E18&lt;=15,2,3)),IF(E18&lt;=4,2,3))),IF(D18&lt;=1,IF(E18&lt;=19,1,2),IF(D18&lt;=3,IF(E18&lt;=5,1,IF(E18&lt;=19,2,3)),IF(E18&lt;=5,2,3)))),3,4,6),IF(C18="EO",CHOOSE(IF(C18="EI",IF(D18&lt;=1,IF(E18&lt;=15,1,2),IF(D18=2,IF(E18&lt;=4,1,IF(E18&lt;=15,2,3)),IF(E18&lt;=4,2,3))),IF(D18&lt;=1,IF(E18&lt;=19,1,2),IF(D18&lt;=3,IF(E18&lt;=5,1,IF(E18&lt;=19,2,3)),IF(E18&lt;=5,2,3)))),4,5,7),CHOOSE(IF(C18="EI",IF(D18&lt;=1,IF(E18&lt;=15,1,2),IF(D18=2,IF(E18&lt;=4,1,IF(E18&lt;=15,2,3)),IF(E18&lt;=4,2,3))),IF(D18&lt;=1,IF(E18&lt;=19,1,2),IF(D18&lt;=3,IF(E18&lt;=5,1,IF(E18&lt;=19,2,3)),IF(E18&lt;=5,2,3)))),3,4,6)))</f>
        <v>4</v>
      </c>
      <c r="H18" s="2" t="s">
        <v>375</v>
      </c>
      <c r="I18" s="2" t="s">
        <v>69</v>
      </c>
    </row>
    <row r="19" customFormat="false" ht="15" hidden="false" customHeight="false" outlineLevel="0" collapsed="false">
      <c r="A19" s="3" t="s">
        <v>376</v>
      </c>
      <c r="B19" s="3" t="s">
        <v>377</v>
      </c>
      <c r="C19" s="3" t="s">
        <v>349</v>
      </c>
      <c r="D19" s="3" t="n">
        <v>2</v>
      </c>
      <c r="E19" s="3" t="n">
        <v>9</v>
      </c>
      <c r="F19" s="3" t="str">
        <f aca="false">CHOOSE(IF(C19="EI",IF(D19&lt;=1,IF(E19&lt;=15,1,2),IF(D19=2,IF(E19&lt;=4,1,IF(E19&lt;=15,2,3)),IF(E19&lt;=4,2,3))),IF(D19&lt;=1,IF(E19&lt;=19,1,2),IF(D19&lt;=3,IF(E19&lt;=5,1,IF(E19&lt;=19,2,3)),IF(E19&lt;=5,2,3)))),"Низкая","Средняя","Высокая")</f>
        <v>Средняя</v>
      </c>
      <c r="G19" s="3" t="n">
        <f aca="false">IF(C19="EI",CHOOSE(IF(C19="EI",IF(D19&lt;=1,IF(E19&lt;=15,1,2),IF(D19=2,IF(E19&lt;=4,1,IF(E19&lt;=15,2,3)),IF(E19&lt;=4,2,3))),IF(D19&lt;=1,IF(E19&lt;=19,1,2),IF(D19&lt;=3,IF(E19&lt;=5,1,IF(E19&lt;=19,2,3)),IF(E19&lt;=5,2,3)))),3,4,6),IF(C19="EO",CHOOSE(IF(C19="EI",IF(D19&lt;=1,IF(E19&lt;=15,1,2),IF(D19=2,IF(E19&lt;=4,1,IF(E19&lt;=15,2,3)),IF(E19&lt;=4,2,3))),IF(D19&lt;=1,IF(E19&lt;=19,1,2),IF(D19&lt;=3,IF(E19&lt;=5,1,IF(E19&lt;=19,2,3)),IF(E19&lt;=5,2,3)))),4,5,7),CHOOSE(IF(C19="EI",IF(D19&lt;=1,IF(E19&lt;=15,1,2),IF(D19=2,IF(E19&lt;=4,1,IF(E19&lt;=15,2,3)),IF(E19&lt;=4,2,3))),IF(D19&lt;=1,IF(E19&lt;=19,1,2),IF(D19&lt;=3,IF(E19&lt;=5,1,IF(E19&lt;=19,2,3)),IF(E19&lt;=5,2,3)))),3,4,6)))</f>
        <v>4</v>
      </c>
      <c r="H19" s="3" t="s">
        <v>375</v>
      </c>
      <c r="I19" s="3" t="s">
        <v>378</v>
      </c>
    </row>
    <row r="20" customFormat="false" ht="15" hidden="false" customHeight="false" outlineLevel="0" collapsed="false">
      <c r="A20" s="2" t="s">
        <v>379</v>
      </c>
      <c r="B20" s="2" t="s">
        <v>380</v>
      </c>
      <c r="C20" s="2" t="s">
        <v>381</v>
      </c>
      <c r="D20" s="2" t="n">
        <v>4</v>
      </c>
      <c r="E20" s="2" t="n">
        <v>12</v>
      </c>
      <c r="F20" s="2" t="str">
        <f aca="false">CHOOSE(IF(C20="EI",IF(D20&lt;=1,IF(E20&lt;=15,1,2),IF(D20=2,IF(E20&lt;=4,1,IF(E20&lt;=15,2,3)),IF(E20&lt;=4,2,3))),IF(D20&lt;=1,IF(E20&lt;=19,1,2),IF(D20&lt;=3,IF(E20&lt;=5,1,IF(E20&lt;=19,2,3)),IF(E20&lt;=5,2,3)))),"Низкая","Средняя","Высокая")</f>
        <v>Высокая</v>
      </c>
      <c r="G20" s="2" t="n">
        <f aca="false">IF(C20="EI",CHOOSE(IF(C20="EI",IF(D20&lt;=1,IF(E20&lt;=15,1,2),IF(D20=2,IF(E20&lt;=4,1,IF(E20&lt;=15,2,3)),IF(E20&lt;=4,2,3))),IF(D20&lt;=1,IF(E20&lt;=19,1,2),IF(D20&lt;=3,IF(E20&lt;=5,1,IF(E20&lt;=19,2,3)),IF(E20&lt;=5,2,3)))),3,4,6),IF(C20="EO",CHOOSE(IF(C20="EI",IF(D20&lt;=1,IF(E20&lt;=15,1,2),IF(D20=2,IF(E20&lt;=4,1,IF(E20&lt;=15,2,3)),IF(E20&lt;=4,2,3))),IF(D20&lt;=1,IF(E20&lt;=19,1,2),IF(D20&lt;=3,IF(E20&lt;=5,1,IF(E20&lt;=19,2,3)),IF(E20&lt;=5,2,3)))),4,5,7),CHOOSE(IF(C20="EI",IF(D20&lt;=1,IF(E20&lt;=15,1,2),IF(D20=2,IF(E20&lt;=4,1,IF(E20&lt;=15,2,3)),IF(E20&lt;=4,2,3))),IF(D20&lt;=1,IF(E20&lt;=19,1,2),IF(D20&lt;=3,IF(E20&lt;=5,1,IF(E20&lt;=19,2,3)),IF(E20&lt;=5,2,3)))),3,4,6)))</f>
        <v>7</v>
      </c>
      <c r="H20" s="2" t="s">
        <v>382</v>
      </c>
      <c r="I20" s="2" t="s">
        <v>73</v>
      </c>
    </row>
    <row r="21" customFormat="false" ht="15" hidden="false" customHeight="false" outlineLevel="0" collapsed="false">
      <c r="A21" s="3" t="s">
        <v>383</v>
      </c>
      <c r="B21" s="3" t="s">
        <v>384</v>
      </c>
      <c r="C21" s="3" t="s">
        <v>381</v>
      </c>
      <c r="D21" s="3" t="n">
        <v>4</v>
      </c>
      <c r="E21" s="3" t="n">
        <v>10</v>
      </c>
      <c r="F21" s="3" t="str">
        <f aca="false">CHOOSE(IF(C21="EI",IF(D21&lt;=1,IF(E21&lt;=15,1,2),IF(D21=2,IF(E21&lt;=4,1,IF(E21&lt;=15,2,3)),IF(E21&lt;=4,2,3))),IF(D21&lt;=1,IF(E21&lt;=19,1,2),IF(D21&lt;=3,IF(E21&lt;=5,1,IF(E21&lt;=19,2,3)),IF(E21&lt;=5,2,3)))),"Низкая","Средняя","Высокая")</f>
        <v>Высокая</v>
      </c>
      <c r="G21" s="3" t="n">
        <f aca="false">IF(C21="EI",CHOOSE(IF(C21="EI",IF(D21&lt;=1,IF(E21&lt;=15,1,2),IF(D21=2,IF(E21&lt;=4,1,IF(E21&lt;=15,2,3)),IF(E21&lt;=4,2,3))),IF(D21&lt;=1,IF(E21&lt;=19,1,2),IF(D21&lt;=3,IF(E21&lt;=5,1,IF(E21&lt;=19,2,3)),IF(E21&lt;=5,2,3)))),3,4,6),IF(C21="EO",CHOOSE(IF(C21="EI",IF(D21&lt;=1,IF(E21&lt;=15,1,2),IF(D21=2,IF(E21&lt;=4,1,IF(E21&lt;=15,2,3)),IF(E21&lt;=4,2,3))),IF(D21&lt;=1,IF(E21&lt;=19,1,2),IF(D21&lt;=3,IF(E21&lt;=5,1,IF(E21&lt;=19,2,3)),IF(E21&lt;=5,2,3)))),4,5,7),CHOOSE(IF(C21="EI",IF(D21&lt;=1,IF(E21&lt;=15,1,2),IF(D21=2,IF(E21&lt;=4,1,IF(E21&lt;=15,2,3)),IF(E21&lt;=4,2,3))),IF(D21&lt;=1,IF(E21&lt;=19,1,2),IF(D21&lt;=3,IF(E21&lt;=5,1,IF(E21&lt;=19,2,3)),IF(E21&lt;=5,2,3)))),3,4,6)))</f>
        <v>7</v>
      </c>
      <c r="H21" s="3" t="s">
        <v>385</v>
      </c>
      <c r="I21" s="3" t="s">
        <v>77</v>
      </c>
    </row>
    <row r="22" customFormat="false" ht="15" hidden="false" customHeight="false" outlineLevel="0" collapsed="false">
      <c r="A22" s="2" t="s">
        <v>386</v>
      </c>
      <c r="B22" s="2" t="s">
        <v>387</v>
      </c>
      <c r="C22" s="2" t="s">
        <v>349</v>
      </c>
      <c r="D22" s="2" t="n">
        <v>3</v>
      </c>
      <c r="E22" s="2" t="n">
        <v>8</v>
      </c>
      <c r="F22" s="2" t="str">
        <f aca="false">CHOOSE(IF(C22="EI",IF(D22&lt;=1,IF(E22&lt;=15,1,2),IF(D22=2,IF(E22&lt;=4,1,IF(E22&lt;=15,2,3)),IF(E22&lt;=4,2,3))),IF(D22&lt;=1,IF(E22&lt;=19,1,2),IF(D22&lt;=3,IF(E22&lt;=5,1,IF(E22&lt;=19,2,3)),IF(E22&lt;=5,2,3)))),"Низкая","Средняя","Высокая")</f>
        <v>Средняя</v>
      </c>
      <c r="G22" s="2" t="n">
        <f aca="false">IF(C22="EI",CHOOSE(IF(C22="EI",IF(D22&lt;=1,IF(E22&lt;=15,1,2),IF(D22=2,IF(E22&lt;=4,1,IF(E22&lt;=15,2,3)),IF(E22&lt;=4,2,3))),IF(D22&lt;=1,IF(E22&lt;=19,1,2),IF(D22&lt;=3,IF(E22&lt;=5,1,IF(E22&lt;=19,2,3)),IF(E22&lt;=5,2,3)))),3,4,6),IF(C22="EO",CHOOSE(IF(C22="EI",IF(D22&lt;=1,IF(E22&lt;=15,1,2),IF(D22=2,IF(E22&lt;=4,1,IF(E22&lt;=15,2,3)),IF(E22&lt;=4,2,3))),IF(D22&lt;=1,IF(E22&lt;=19,1,2),IF(D22&lt;=3,IF(E22&lt;=5,1,IF(E22&lt;=19,2,3)),IF(E22&lt;=5,2,3)))),4,5,7),CHOOSE(IF(C22="EI",IF(D22&lt;=1,IF(E22&lt;=15,1,2),IF(D22=2,IF(E22&lt;=4,1,IF(E22&lt;=15,2,3)),IF(E22&lt;=4,2,3))),IF(D22&lt;=1,IF(E22&lt;=19,1,2),IF(D22&lt;=3,IF(E22&lt;=5,1,IF(E22&lt;=19,2,3)),IF(E22&lt;=5,2,3)))),3,4,6)))</f>
        <v>4</v>
      </c>
      <c r="H22" s="2" t="s">
        <v>388</v>
      </c>
      <c r="I22" s="2" t="s">
        <v>77</v>
      </c>
    </row>
    <row r="23" customFormat="false" ht="15" hidden="false" customHeight="false" outlineLevel="0" collapsed="false">
      <c r="A23" s="3" t="s">
        <v>389</v>
      </c>
      <c r="B23" s="3" t="s">
        <v>390</v>
      </c>
      <c r="C23" s="3" t="s">
        <v>334</v>
      </c>
      <c r="D23" s="3" t="n">
        <v>3</v>
      </c>
      <c r="E23" s="3" t="n">
        <v>4</v>
      </c>
      <c r="F23" s="3" t="str">
        <f aca="false">CHOOSE(IF(C23="EI",IF(D23&lt;=1,IF(E23&lt;=15,1,2),IF(D23=2,IF(E23&lt;=4,1,IF(E23&lt;=15,2,3)),IF(E23&lt;=4,2,3))),IF(D23&lt;=1,IF(E23&lt;=19,1,2),IF(D23&lt;=3,IF(E23&lt;=5,1,IF(E23&lt;=19,2,3)),IF(E23&lt;=5,2,3)))),"Низкая","Средняя","Высокая")</f>
        <v>Средняя</v>
      </c>
      <c r="G23" s="3" t="n">
        <f aca="false">IF(C23="EI",CHOOSE(IF(C23="EI",IF(D23&lt;=1,IF(E23&lt;=15,1,2),IF(D23=2,IF(E23&lt;=4,1,IF(E23&lt;=15,2,3)),IF(E23&lt;=4,2,3))),IF(D23&lt;=1,IF(E23&lt;=19,1,2),IF(D23&lt;=3,IF(E23&lt;=5,1,IF(E23&lt;=19,2,3)),IF(E23&lt;=5,2,3)))),3,4,6),IF(C23="EO",CHOOSE(IF(C23="EI",IF(D23&lt;=1,IF(E23&lt;=15,1,2),IF(D23=2,IF(E23&lt;=4,1,IF(E23&lt;=15,2,3)),IF(E23&lt;=4,2,3))),IF(D23&lt;=1,IF(E23&lt;=19,1,2),IF(D23&lt;=3,IF(E23&lt;=5,1,IF(E23&lt;=19,2,3)),IF(E23&lt;=5,2,3)))),4,5,7),CHOOSE(IF(C23="EI",IF(D23&lt;=1,IF(E23&lt;=15,1,2),IF(D23=2,IF(E23&lt;=4,1,IF(E23&lt;=15,2,3)),IF(E23&lt;=4,2,3))),IF(D23&lt;=1,IF(E23&lt;=19,1,2),IF(D23&lt;=3,IF(E23&lt;=5,1,IF(E23&lt;=19,2,3)),IF(E23&lt;=5,2,3)))),3,4,6)))</f>
        <v>4</v>
      </c>
      <c r="H23" s="3" t="s">
        <v>391</v>
      </c>
      <c r="I23" s="3" t="s">
        <v>81</v>
      </c>
    </row>
    <row r="24" customFormat="false" ht="15" hidden="false" customHeight="false" outlineLevel="0" collapsed="false">
      <c r="A24" s="2" t="s">
        <v>392</v>
      </c>
      <c r="B24" s="2" t="s">
        <v>393</v>
      </c>
      <c r="C24" s="2" t="s">
        <v>334</v>
      </c>
      <c r="D24" s="2" t="n">
        <v>2</v>
      </c>
      <c r="E24" s="2" t="n">
        <v>2</v>
      </c>
      <c r="F24" s="2" t="str">
        <f aca="false">CHOOSE(IF(C24="EI",IF(D24&lt;=1,IF(E24&lt;=15,1,2),IF(D24=2,IF(E24&lt;=4,1,IF(E24&lt;=15,2,3)),IF(E24&lt;=4,2,3))),IF(D24&lt;=1,IF(E24&lt;=19,1,2),IF(D24&lt;=3,IF(E24&lt;=5,1,IF(E24&lt;=19,2,3)),IF(E24&lt;=5,2,3)))),"Низкая","Средняя","Высокая")</f>
        <v>Низкая</v>
      </c>
      <c r="G24" s="2" t="n">
        <f aca="false">IF(C24="EI",CHOOSE(IF(C24="EI",IF(D24&lt;=1,IF(E24&lt;=15,1,2),IF(D24=2,IF(E24&lt;=4,1,IF(E24&lt;=15,2,3)),IF(E24&lt;=4,2,3))),IF(D24&lt;=1,IF(E24&lt;=19,1,2),IF(D24&lt;=3,IF(E24&lt;=5,1,IF(E24&lt;=19,2,3)),IF(E24&lt;=5,2,3)))),3,4,6),IF(C24="EO",CHOOSE(IF(C24="EI",IF(D24&lt;=1,IF(E24&lt;=15,1,2),IF(D24=2,IF(E24&lt;=4,1,IF(E24&lt;=15,2,3)),IF(E24&lt;=4,2,3))),IF(D24&lt;=1,IF(E24&lt;=19,1,2),IF(D24&lt;=3,IF(E24&lt;=5,1,IF(E24&lt;=19,2,3)),IF(E24&lt;=5,2,3)))),4,5,7),CHOOSE(IF(C24="EI",IF(D24&lt;=1,IF(E24&lt;=15,1,2),IF(D24=2,IF(E24&lt;=4,1,IF(E24&lt;=15,2,3)),IF(E24&lt;=4,2,3))),IF(D24&lt;=1,IF(E24&lt;=19,1,2),IF(D24&lt;=3,IF(E24&lt;=5,1,IF(E24&lt;=19,2,3)),IF(E24&lt;=5,2,3)))),3,4,6)))</f>
        <v>3</v>
      </c>
      <c r="H24" s="2" t="s">
        <v>394</v>
      </c>
      <c r="I24" s="2" t="s">
        <v>81</v>
      </c>
    </row>
    <row r="25" customFormat="false" ht="15" hidden="false" customHeight="false" outlineLevel="0" collapsed="false">
      <c r="A25" s="3" t="s">
        <v>395</v>
      </c>
      <c r="B25" s="3" t="s">
        <v>396</v>
      </c>
      <c r="C25" s="3" t="s">
        <v>349</v>
      </c>
      <c r="D25" s="3" t="n">
        <v>2</v>
      </c>
      <c r="E25" s="3" t="n">
        <v>10</v>
      </c>
      <c r="F25" s="3" t="str">
        <f aca="false">CHOOSE(IF(C25="EI",IF(D25&lt;=1,IF(E25&lt;=15,1,2),IF(D25=2,IF(E25&lt;=4,1,IF(E25&lt;=15,2,3)),IF(E25&lt;=4,2,3))),IF(D25&lt;=1,IF(E25&lt;=19,1,2),IF(D25&lt;=3,IF(E25&lt;=5,1,IF(E25&lt;=19,2,3)),IF(E25&lt;=5,2,3)))),"Низкая","Средняя","Высокая")</f>
        <v>Средняя</v>
      </c>
      <c r="G25" s="3" t="n">
        <f aca="false">IF(C25="EI",CHOOSE(IF(C25="EI",IF(D25&lt;=1,IF(E25&lt;=15,1,2),IF(D25=2,IF(E25&lt;=4,1,IF(E25&lt;=15,2,3)),IF(E25&lt;=4,2,3))),IF(D25&lt;=1,IF(E25&lt;=19,1,2),IF(D25&lt;=3,IF(E25&lt;=5,1,IF(E25&lt;=19,2,3)),IF(E25&lt;=5,2,3)))),3,4,6),IF(C25="EO",CHOOSE(IF(C25="EI",IF(D25&lt;=1,IF(E25&lt;=15,1,2),IF(D25=2,IF(E25&lt;=4,1,IF(E25&lt;=15,2,3)),IF(E25&lt;=4,2,3))),IF(D25&lt;=1,IF(E25&lt;=19,1,2),IF(D25&lt;=3,IF(E25&lt;=5,1,IF(E25&lt;=19,2,3)),IF(E25&lt;=5,2,3)))),4,5,7),CHOOSE(IF(C25="EI",IF(D25&lt;=1,IF(E25&lt;=15,1,2),IF(D25=2,IF(E25&lt;=4,1,IF(E25&lt;=15,2,3)),IF(E25&lt;=4,2,3))),IF(D25&lt;=1,IF(E25&lt;=19,1,2),IF(D25&lt;=3,IF(E25&lt;=5,1,IF(E25&lt;=19,2,3)),IF(E25&lt;=5,2,3)))),3,4,6)))</f>
        <v>4</v>
      </c>
      <c r="H25" s="3" t="s">
        <v>394</v>
      </c>
      <c r="I25" s="3" t="s">
        <v>81</v>
      </c>
    </row>
    <row r="26" customFormat="false" ht="15" hidden="false" customHeight="false" outlineLevel="0" collapsed="false">
      <c r="A26" s="2" t="s">
        <v>397</v>
      </c>
      <c r="B26" s="2" t="s">
        <v>398</v>
      </c>
      <c r="C26" s="2" t="s">
        <v>334</v>
      </c>
      <c r="D26" s="2" t="n">
        <v>2</v>
      </c>
      <c r="E26" s="2" t="n">
        <v>5</v>
      </c>
      <c r="F26" s="2" t="str">
        <f aca="false">CHOOSE(IF(C26="EI",IF(D26&lt;=1,IF(E26&lt;=15,1,2),IF(D26=2,IF(E26&lt;=4,1,IF(E26&lt;=15,2,3)),IF(E26&lt;=4,2,3))),IF(D26&lt;=1,IF(E26&lt;=19,1,2),IF(D26&lt;=3,IF(E26&lt;=5,1,IF(E26&lt;=19,2,3)),IF(E26&lt;=5,2,3)))),"Низкая","Средняя","Высокая")</f>
        <v>Средняя</v>
      </c>
      <c r="G26" s="2" t="n">
        <f aca="false">IF(C26="EI",CHOOSE(IF(C26="EI",IF(D26&lt;=1,IF(E26&lt;=15,1,2),IF(D26=2,IF(E26&lt;=4,1,IF(E26&lt;=15,2,3)),IF(E26&lt;=4,2,3))),IF(D26&lt;=1,IF(E26&lt;=19,1,2),IF(D26&lt;=3,IF(E26&lt;=5,1,IF(E26&lt;=19,2,3)),IF(E26&lt;=5,2,3)))),3,4,6),IF(C26="EO",CHOOSE(IF(C26="EI",IF(D26&lt;=1,IF(E26&lt;=15,1,2),IF(D26=2,IF(E26&lt;=4,1,IF(E26&lt;=15,2,3)),IF(E26&lt;=4,2,3))),IF(D26&lt;=1,IF(E26&lt;=19,1,2),IF(D26&lt;=3,IF(E26&lt;=5,1,IF(E26&lt;=19,2,3)),IF(E26&lt;=5,2,3)))),4,5,7),CHOOSE(IF(C26="EI",IF(D26&lt;=1,IF(E26&lt;=15,1,2),IF(D26=2,IF(E26&lt;=4,1,IF(E26&lt;=15,2,3)),IF(E26&lt;=4,2,3))),IF(D26&lt;=1,IF(E26&lt;=19,1,2),IF(D26&lt;=3,IF(E26&lt;=5,1,IF(E26&lt;=19,2,3)),IF(E26&lt;=5,2,3)))),3,4,6)))</f>
        <v>4</v>
      </c>
      <c r="H26" s="2" t="s">
        <v>399</v>
      </c>
      <c r="I26" s="2" t="s">
        <v>86</v>
      </c>
    </row>
    <row r="27" customFormat="false" ht="15" hidden="false" customHeight="false" outlineLevel="0" collapsed="false">
      <c r="A27" s="3" t="s">
        <v>400</v>
      </c>
      <c r="B27" s="3" t="s">
        <v>401</v>
      </c>
      <c r="C27" s="3" t="s">
        <v>334</v>
      </c>
      <c r="D27" s="3" t="n">
        <v>2</v>
      </c>
      <c r="E27" s="3" t="n">
        <v>5</v>
      </c>
      <c r="F27" s="3" t="str">
        <f aca="false">CHOOSE(IF(C27="EI",IF(D27&lt;=1,IF(E27&lt;=15,1,2),IF(D27=2,IF(E27&lt;=4,1,IF(E27&lt;=15,2,3)),IF(E27&lt;=4,2,3))),IF(D27&lt;=1,IF(E27&lt;=19,1,2),IF(D27&lt;=3,IF(E27&lt;=5,1,IF(E27&lt;=19,2,3)),IF(E27&lt;=5,2,3)))),"Низкая","Средняя","Высокая")</f>
        <v>Средняя</v>
      </c>
      <c r="G27" s="3" t="n">
        <f aca="false">IF(C27="EI",CHOOSE(IF(C27="EI",IF(D27&lt;=1,IF(E27&lt;=15,1,2),IF(D27=2,IF(E27&lt;=4,1,IF(E27&lt;=15,2,3)),IF(E27&lt;=4,2,3))),IF(D27&lt;=1,IF(E27&lt;=19,1,2),IF(D27&lt;=3,IF(E27&lt;=5,1,IF(E27&lt;=19,2,3)),IF(E27&lt;=5,2,3)))),3,4,6),IF(C27="EO",CHOOSE(IF(C27="EI",IF(D27&lt;=1,IF(E27&lt;=15,1,2),IF(D27=2,IF(E27&lt;=4,1,IF(E27&lt;=15,2,3)),IF(E27&lt;=4,2,3))),IF(D27&lt;=1,IF(E27&lt;=19,1,2),IF(D27&lt;=3,IF(E27&lt;=5,1,IF(E27&lt;=19,2,3)),IF(E27&lt;=5,2,3)))),4,5,7),CHOOSE(IF(C27="EI",IF(D27&lt;=1,IF(E27&lt;=15,1,2),IF(D27=2,IF(E27&lt;=4,1,IF(E27&lt;=15,2,3)),IF(E27&lt;=4,2,3))),IF(D27&lt;=1,IF(E27&lt;=19,1,2),IF(D27&lt;=3,IF(E27&lt;=5,1,IF(E27&lt;=19,2,3)),IF(E27&lt;=5,2,3)))),3,4,6)))</f>
        <v>4</v>
      </c>
      <c r="H27" s="3" t="s">
        <v>399</v>
      </c>
      <c r="I27" s="3" t="s">
        <v>86</v>
      </c>
    </row>
    <row r="28" customFormat="false" ht="15" hidden="false" customHeight="false" outlineLevel="0" collapsed="false">
      <c r="A28" s="2" t="s">
        <v>402</v>
      </c>
      <c r="B28" s="2" t="s">
        <v>403</v>
      </c>
      <c r="C28" s="2" t="s">
        <v>381</v>
      </c>
      <c r="D28" s="2" t="n">
        <v>2</v>
      </c>
      <c r="E28" s="2" t="n">
        <v>9</v>
      </c>
      <c r="F28" s="2" t="str">
        <f aca="false">CHOOSE(IF(C28="EI",IF(D28&lt;=1,IF(E28&lt;=15,1,2),IF(D28=2,IF(E28&lt;=4,1,IF(E28&lt;=15,2,3)),IF(E28&lt;=4,2,3))),IF(D28&lt;=1,IF(E28&lt;=19,1,2),IF(D28&lt;=3,IF(E28&lt;=5,1,IF(E28&lt;=19,2,3)),IF(E28&lt;=5,2,3)))),"Низкая","Средняя","Высокая")</f>
        <v>Средняя</v>
      </c>
      <c r="G28" s="2" t="n">
        <f aca="false">IF(C28="EI",CHOOSE(IF(C28="EI",IF(D28&lt;=1,IF(E28&lt;=15,1,2),IF(D28=2,IF(E28&lt;=4,1,IF(E28&lt;=15,2,3)),IF(E28&lt;=4,2,3))),IF(D28&lt;=1,IF(E28&lt;=19,1,2),IF(D28&lt;=3,IF(E28&lt;=5,1,IF(E28&lt;=19,2,3)),IF(E28&lt;=5,2,3)))),3,4,6),IF(C28="EO",CHOOSE(IF(C28="EI",IF(D28&lt;=1,IF(E28&lt;=15,1,2),IF(D28=2,IF(E28&lt;=4,1,IF(E28&lt;=15,2,3)),IF(E28&lt;=4,2,3))),IF(D28&lt;=1,IF(E28&lt;=19,1,2),IF(D28&lt;=3,IF(E28&lt;=5,1,IF(E28&lt;=19,2,3)),IF(E28&lt;=5,2,3)))),4,5,7),CHOOSE(IF(C28="EI",IF(D28&lt;=1,IF(E28&lt;=15,1,2),IF(D28=2,IF(E28&lt;=4,1,IF(E28&lt;=15,2,3)),IF(E28&lt;=4,2,3))),IF(D28&lt;=1,IF(E28&lt;=19,1,2),IF(D28&lt;=3,IF(E28&lt;=5,1,IF(E28&lt;=19,2,3)),IF(E28&lt;=5,2,3)))),3,4,6)))</f>
        <v>5</v>
      </c>
      <c r="H28" s="2" t="s">
        <v>404</v>
      </c>
      <c r="I28" s="2" t="s">
        <v>86</v>
      </c>
    </row>
    <row r="29" customFormat="false" ht="15" hidden="false" customHeight="false" outlineLevel="0" collapsed="false">
      <c r="A29" s="3" t="s">
        <v>405</v>
      </c>
      <c r="B29" s="3" t="s">
        <v>406</v>
      </c>
      <c r="C29" s="3" t="s">
        <v>334</v>
      </c>
      <c r="D29" s="3" t="n">
        <v>3</v>
      </c>
      <c r="E29" s="3" t="n">
        <v>5</v>
      </c>
      <c r="F29" s="3" t="str">
        <f aca="false">CHOOSE(IF(C29="EI",IF(D29&lt;=1,IF(E29&lt;=15,1,2),IF(D29=2,IF(E29&lt;=4,1,IF(E29&lt;=15,2,3)),IF(E29&lt;=4,2,3))),IF(D29&lt;=1,IF(E29&lt;=19,1,2),IF(D29&lt;=3,IF(E29&lt;=5,1,IF(E29&lt;=19,2,3)),IF(E29&lt;=5,2,3)))),"Низкая","Средняя","Высокая")</f>
        <v>Высокая</v>
      </c>
      <c r="G29" s="3" t="n">
        <f aca="false">IF(C29="EI",CHOOSE(IF(C29="EI",IF(D29&lt;=1,IF(E29&lt;=15,1,2),IF(D29=2,IF(E29&lt;=4,1,IF(E29&lt;=15,2,3)),IF(E29&lt;=4,2,3))),IF(D29&lt;=1,IF(E29&lt;=19,1,2),IF(D29&lt;=3,IF(E29&lt;=5,1,IF(E29&lt;=19,2,3)),IF(E29&lt;=5,2,3)))),3,4,6),IF(C29="EO",CHOOSE(IF(C29="EI",IF(D29&lt;=1,IF(E29&lt;=15,1,2),IF(D29=2,IF(E29&lt;=4,1,IF(E29&lt;=15,2,3)),IF(E29&lt;=4,2,3))),IF(D29&lt;=1,IF(E29&lt;=19,1,2),IF(D29&lt;=3,IF(E29&lt;=5,1,IF(E29&lt;=19,2,3)),IF(E29&lt;=5,2,3)))),4,5,7),CHOOSE(IF(C29="EI",IF(D29&lt;=1,IF(E29&lt;=15,1,2),IF(D29=2,IF(E29&lt;=4,1,IF(E29&lt;=15,2,3)),IF(E29&lt;=4,2,3))),IF(D29&lt;=1,IF(E29&lt;=19,1,2),IF(D29&lt;=3,IF(E29&lt;=5,1,IF(E29&lt;=19,2,3)),IF(E29&lt;=5,2,3)))),3,4,6)))</f>
        <v>6</v>
      </c>
      <c r="H29" s="3" t="s">
        <v>407</v>
      </c>
      <c r="I29" s="3" t="s">
        <v>90</v>
      </c>
    </row>
    <row r="30" customFormat="false" ht="15" hidden="false" customHeight="false" outlineLevel="0" collapsed="false">
      <c r="A30" s="2" t="s">
        <v>408</v>
      </c>
      <c r="B30" s="2" t="s">
        <v>409</v>
      </c>
      <c r="C30" s="2" t="s">
        <v>349</v>
      </c>
      <c r="D30" s="2" t="n">
        <v>1</v>
      </c>
      <c r="E30" s="2" t="n">
        <v>8</v>
      </c>
      <c r="F30" s="2" t="str">
        <f aca="false">CHOOSE(IF(C30="EI",IF(D30&lt;=1,IF(E30&lt;=15,1,2),IF(D30=2,IF(E30&lt;=4,1,IF(E30&lt;=15,2,3)),IF(E30&lt;=4,2,3))),IF(D30&lt;=1,IF(E30&lt;=19,1,2),IF(D30&lt;=3,IF(E30&lt;=5,1,IF(E30&lt;=19,2,3)),IF(E30&lt;=5,2,3)))),"Низкая","Средняя","Высокая")</f>
        <v>Низкая</v>
      </c>
      <c r="G30" s="2" t="n">
        <f aca="false">IF(C30="EI",CHOOSE(IF(C30="EI",IF(D30&lt;=1,IF(E30&lt;=15,1,2),IF(D30=2,IF(E30&lt;=4,1,IF(E30&lt;=15,2,3)),IF(E30&lt;=4,2,3))),IF(D30&lt;=1,IF(E30&lt;=19,1,2),IF(D30&lt;=3,IF(E30&lt;=5,1,IF(E30&lt;=19,2,3)),IF(E30&lt;=5,2,3)))),3,4,6),IF(C30="EO",CHOOSE(IF(C30="EI",IF(D30&lt;=1,IF(E30&lt;=15,1,2),IF(D30=2,IF(E30&lt;=4,1,IF(E30&lt;=15,2,3)),IF(E30&lt;=4,2,3))),IF(D30&lt;=1,IF(E30&lt;=19,1,2),IF(D30&lt;=3,IF(E30&lt;=5,1,IF(E30&lt;=19,2,3)),IF(E30&lt;=5,2,3)))),4,5,7),CHOOSE(IF(C30="EI",IF(D30&lt;=1,IF(E30&lt;=15,1,2),IF(D30=2,IF(E30&lt;=4,1,IF(E30&lt;=15,2,3)),IF(E30&lt;=4,2,3))),IF(D30&lt;=1,IF(E30&lt;=19,1,2),IF(D30&lt;=3,IF(E30&lt;=5,1,IF(E30&lt;=19,2,3)),IF(E30&lt;=5,2,3)))),3,4,6)))</f>
        <v>3</v>
      </c>
      <c r="H30" s="2" t="s">
        <v>321</v>
      </c>
      <c r="I30" s="2" t="s">
        <v>90</v>
      </c>
    </row>
    <row r="31" customFormat="false" ht="15" hidden="false" customHeight="false" outlineLevel="0" collapsed="false">
      <c r="A31" s="3" t="s">
        <v>410</v>
      </c>
      <c r="B31" s="3" t="s">
        <v>411</v>
      </c>
      <c r="C31" s="3" t="s">
        <v>334</v>
      </c>
      <c r="D31" s="3" t="n">
        <v>1</v>
      </c>
      <c r="E31" s="3" t="n">
        <v>2</v>
      </c>
      <c r="F31" s="3" t="str">
        <f aca="false">CHOOSE(IF(C31="EI",IF(D31&lt;=1,IF(E31&lt;=15,1,2),IF(D31=2,IF(E31&lt;=4,1,IF(E31&lt;=15,2,3)),IF(E31&lt;=4,2,3))),IF(D31&lt;=1,IF(E31&lt;=19,1,2),IF(D31&lt;=3,IF(E31&lt;=5,1,IF(E31&lt;=19,2,3)),IF(E31&lt;=5,2,3)))),"Низкая","Средняя","Высокая")</f>
        <v>Низкая</v>
      </c>
      <c r="G31" s="3" t="n">
        <f aca="false">IF(C31="EI",CHOOSE(IF(C31="EI",IF(D31&lt;=1,IF(E31&lt;=15,1,2),IF(D31=2,IF(E31&lt;=4,1,IF(E31&lt;=15,2,3)),IF(E31&lt;=4,2,3))),IF(D31&lt;=1,IF(E31&lt;=19,1,2),IF(D31&lt;=3,IF(E31&lt;=5,1,IF(E31&lt;=19,2,3)),IF(E31&lt;=5,2,3)))),3,4,6),IF(C31="EO",CHOOSE(IF(C31="EI",IF(D31&lt;=1,IF(E31&lt;=15,1,2),IF(D31=2,IF(E31&lt;=4,1,IF(E31&lt;=15,2,3)),IF(E31&lt;=4,2,3))),IF(D31&lt;=1,IF(E31&lt;=19,1,2),IF(D31&lt;=3,IF(E31&lt;=5,1,IF(E31&lt;=19,2,3)),IF(E31&lt;=5,2,3)))),4,5,7),CHOOSE(IF(C31="EI",IF(D31&lt;=1,IF(E31&lt;=15,1,2),IF(D31=2,IF(E31&lt;=4,1,IF(E31&lt;=15,2,3)),IF(E31&lt;=4,2,3))),IF(D31&lt;=1,IF(E31&lt;=19,1,2),IF(D31&lt;=3,IF(E31&lt;=5,1,IF(E31&lt;=19,2,3)),IF(E31&lt;=5,2,3)))),3,4,6)))</f>
        <v>3</v>
      </c>
      <c r="H31" s="3" t="s">
        <v>321</v>
      </c>
      <c r="I31" s="3" t="s">
        <v>90</v>
      </c>
    </row>
    <row r="32" customFormat="false" ht="15" hidden="false" customHeight="false" outlineLevel="0" collapsed="false">
      <c r="A32" s="2" t="s">
        <v>412</v>
      </c>
      <c r="B32" s="2" t="s">
        <v>413</v>
      </c>
      <c r="C32" s="2" t="s">
        <v>334</v>
      </c>
      <c r="D32" s="2" t="n">
        <v>3</v>
      </c>
      <c r="E32" s="2" t="n">
        <v>8</v>
      </c>
      <c r="F32" s="2" t="str">
        <f aca="false">CHOOSE(IF(C32="EI",IF(D32&lt;=1,IF(E32&lt;=15,1,2),IF(D32=2,IF(E32&lt;=4,1,IF(E32&lt;=15,2,3)),IF(E32&lt;=4,2,3))),IF(D32&lt;=1,IF(E32&lt;=19,1,2),IF(D32&lt;=3,IF(E32&lt;=5,1,IF(E32&lt;=19,2,3)),IF(E32&lt;=5,2,3)))),"Низкая","Средняя","Высокая")</f>
        <v>Высокая</v>
      </c>
      <c r="G32" s="2" t="n">
        <f aca="false">IF(C32="EI",CHOOSE(IF(C32="EI",IF(D32&lt;=1,IF(E32&lt;=15,1,2),IF(D32=2,IF(E32&lt;=4,1,IF(E32&lt;=15,2,3)),IF(E32&lt;=4,2,3))),IF(D32&lt;=1,IF(E32&lt;=19,1,2),IF(D32&lt;=3,IF(E32&lt;=5,1,IF(E32&lt;=19,2,3)),IF(E32&lt;=5,2,3)))),3,4,6),IF(C32="EO",CHOOSE(IF(C32="EI",IF(D32&lt;=1,IF(E32&lt;=15,1,2),IF(D32=2,IF(E32&lt;=4,1,IF(E32&lt;=15,2,3)),IF(E32&lt;=4,2,3))),IF(D32&lt;=1,IF(E32&lt;=19,1,2),IF(D32&lt;=3,IF(E32&lt;=5,1,IF(E32&lt;=19,2,3)),IF(E32&lt;=5,2,3)))),4,5,7),CHOOSE(IF(C32="EI",IF(D32&lt;=1,IF(E32&lt;=15,1,2),IF(D32=2,IF(E32&lt;=4,1,IF(E32&lt;=15,2,3)),IF(E32&lt;=4,2,3))),IF(D32&lt;=1,IF(E32&lt;=19,1,2),IF(D32&lt;=3,IF(E32&lt;=5,1,IF(E32&lt;=19,2,3)),IF(E32&lt;=5,2,3)))),3,4,6)))</f>
        <v>6</v>
      </c>
      <c r="H32" s="2" t="s">
        <v>414</v>
      </c>
      <c r="I32" s="2" t="s">
        <v>94</v>
      </c>
    </row>
    <row r="33" customFormat="false" ht="15" hidden="false" customHeight="false" outlineLevel="0" collapsed="false">
      <c r="A33" s="3" t="s">
        <v>415</v>
      </c>
      <c r="B33" s="3" t="s">
        <v>416</v>
      </c>
      <c r="C33" s="3" t="s">
        <v>334</v>
      </c>
      <c r="D33" s="3" t="n">
        <v>3</v>
      </c>
      <c r="E33" s="3" t="n">
        <v>20</v>
      </c>
      <c r="F33" s="3" t="str">
        <f aca="false">CHOOSE(IF(C33="EI",IF(D33&lt;=1,IF(E33&lt;=15,1,2),IF(D33=2,IF(E33&lt;=4,1,IF(E33&lt;=15,2,3)),IF(E33&lt;=4,2,3))),IF(D33&lt;=1,IF(E33&lt;=19,1,2),IF(D33&lt;=3,IF(E33&lt;=5,1,IF(E33&lt;=19,2,3)),IF(E33&lt;=5,2,3)))),"Низкая","Средняя","Высокая")</f>
        <v>Высокая</v>
      </c>
      <c r="G33" s="3" t="n">
        <f aca="false">IF(C33="EI",CHOOSE(IF(C33="EI",IF(D33&lt;=1,IF(E33&lt;=15,1,2),IF(D33=2,IF(E33&lt;=4,1,IF(E33&lt;=15,2,3)),IF(E33&lt;=4,2,3))),IF(D33&lt;=1,IF(E33&lt;=19,1,2),IF(D33&lt;=3,IF(E33&lt;=5,1,IF(E33&lt;=19,2,3)),IF(E33&lt;=5,2,3)))),3,4,6),IF(C33="EO",CHOOSE(IF(C33="EI",IF(D33&lt;=1,IF(E33&lt;=15,1,2),IF(D33=2,IF(E33&lt;=4,1,IF(E33&lt;=15,2,3)),IF(E33&lt;=4,2,3))),IF(D33&lt;=1,IF(E33&lt;=19,1,2),IF(D33&lt;=3,IF(E33&lt;=5,1,IF(E33&lt;=19,2,3)),IF(E33&lt;=5,2,3)))),4,5,7),CHOOSE(IF(C33="EI",IF(D33&lt;=1,IF(E33&lt;=15,1,2),IF(D33=2,IF(E33&lt;=4,1,IF(E33&lt;=15,2,3)),IF(E33&lt;=4,2,3))),IF(D33&lt;=1,IF(E33&lt;=19,1,2),IF(D33&lt;=3,IF(E33&lt;=5,1,IF(E33&lt;=19,2,3)),IF(E33&lt;=5,2,3)))),3,4,6)))</f>
        <v>6</v>
      </c>
      <c r="H33" s="3" t="s">
        <v>414</v>
      </c>
      <c r="I33" s="3" t="s">
        <v>94</v>
      </c>
    </row>
    <row r="34" customFormat="false" ht="15" hidden="false" customHeight="false" outlineLevel="0" collapsed="false">
      <c r="A34" s="2" t="s">
        <v>417</v>
      </c>
      <c r="B34" s="2" t="s">
        <v>418</v>
      </c>
      <c r="C34" s="2" t="s">
        <v>334</v>
      </c>
      <c r="D34" s="2" t="n">
        <v>3</v>
      </c>
      <c r="E34" s="2" t="n">
        <v>3</v>
      </c>
      <c r="F34" s="2" t="str">
        <f aca="false">CHOOSE(IF(C34="EI",IF(D34&lt;=1,IF(E34&lt;=15,1,2),IF(D34=2,IF(E34&lt;=4,1,IF(E34&lt;=15,2,3)),IF(E34&lt;=4,2,3))),IF(D34&lt;=1,IF(E34&lt;=19,1,2),IF(D34&lt;=3,IF(E34&lt;=5,1,IF(E34&lt;=19,2,3)),IF(E34&lt;=5,2,3)))),"Низкая","Средняя","Высокая")</f>
        <v>Средняя</v>
      </c>
      <c r="G34" s="2" t="n">
        <f aca="false">IF(C34="EI",CHOOSE(IF(C34="EI",IF(D34&lt;=1,IF(E34&lt;=15,1,2),IF(D34=2,IF(E34&lt;=4,1,IF(E34&lt;=15,2,3)),IF(E34&lt;=4,2,3))),IF(D34&lt;=1,IF(E34&lt;=19,1,2),IF(D34&lt;=3,IF(E34&lt;=5,1,IF(E34&lt;=19,2,3)),IF(E34&lt;=5,2,3)))),3,4,6),IF(C34="EO",CHOOSE(IF(C34="EI",IF(D34&lt;=1,IF(E34&lt;=15,1,2),IF(D34=2,IF(E34&lt;=4,1,IF(E34&lt;=15,2,3)),IF(E34&lt;=4,2,3))),IF(D34&lt;=1,IF(E34&lt;=19,1,2),IF(D34&lt;=3,IF(E34&lt;=5,1,IF(E34&lt;=19,2,3)),IF(E34&lt;=5,2,3)))),4,5,7),CHOOSE(IF(C34="EI",IF(D34&lt;=1,IF(E34&lt;=15,1,2),IF(D34=2,IF(E34&lt;=4,1,IF(E34&lt;=15,2,3)),IF(E34&lt;=4,2,3))),IF(D34&lt;=1,IF(E34&lt;=19,1,2),IF(D34&lt;=3,IF(E34&lt;=5,1,IF(E34&lt;=19,2,3)),IF(E34&lt;=5,2,3)))),3,4,6)))</f>
        <v>4</v>
      </c>
      <c r="H34" s="2" t="s">
        <v>419</v>
      </c>
      <c r="I34" s="2" t="s">
        <v>94</v>
      </c>
    </row>
    <row r="35" customFormat="false" ht="15" hidden="false" customHeight="false" outlineLevel="0" collapsed="false">
      <c r="A35" s="3" t="s">
        <v>420</v>
      </c>
      <c r="B35" s="3" t="s">
        <v>421</v>
      </c>
      <c r="C35" s="3" t="s">
        <v>334</v>
      </c>
      <c r="D35" s="3" t="n">
        <v>2</v>
      </c>
      <c r="E35" s="3" t="n">
        <v>8</v>
      </c>
      <c r="F35" s="3" t="str">
        <f aca="false">CHOOSE(IF(C35="EI",IF(D35&lt;=1,IF(E35&lt;=15,1,2),IF(D35=2,IF(E35&lt;=4,1,IF(E35&lt;=15,2,3)),IF(E35&lt;=4,2,3))),IF(D35&lt;=1,IF(E35&lt;=19,1,2),IF(D35&lt;=3,IF(E35&lt;=5,1,IF(E35&lt;=19,2,3)),IF(E35&lt;=5,2,3)))),"Низкая","Средняя","Высокая")</f>
        <v>Средняя</v>
      </c>
      <c r="G35" s="3" t="n">
        <f aca="false">IF(C35="EI",CHOOSE(IF(C35="EI",IF(D35&lt;=1,IF(E35&lt;=15,1,2),IF(D35=2,IF(E35&lt;=4,1,IF(E35&lt;=15,2,3)),IF(E35&lt;=4,2,3))),IF(D35&lt;=1,IF(E35&lt;=19,1,2),IF(D35&lt;=3,IF(E35&lt;=5,1,IF(E35&lt;=19,2,3)),IF(E35&lt;=5,2,3)))),3,4,6),IF(C35="EO",CHOOSE(IF(C35="EI",IF(D35&lt;=1,IF(E35&lt;=15,1,2),IF(D35=2,IF(E35&lt;=4,1,IF(E35&lt;=15,2,3)),IF(E35&lt;=4,2,3))),IF(D35&lt;=1,IF(E35&lt;=19,1,2),IF(D35&lt;=3,IF(E35&lt;=5,1,IF(E35&lt;=19,2,3)),IF(E35&lt;=5,2,3)))),4,5,7),CHOOSE(IF(C35="EI",IF(D35&lt;=1,IF(E35&lt;=15,1,2),IF(D35=2,IF(E35&lt;=4,1,IF(E35&lt;=15,2,3)),IF(E35&lt;=4,2,3))),IF(D35&lt;=1,IF(E35&lt;=19,1,2),IF(D35&lt;=3,IF(E35&lt;=5,1,IF(E35&lt;=19,2,3)),IF(E35&lt;=5,2,3)))),3,4,6)))</f>
        <v>4</v>
      </c>
      <c r="H35" s="3" t="s">
        <v>422</v>
      </c>
      <c r="I35" s="3" t="s">
        <v>99</v>
      </c>
    </row>
    <row r="36" customFormat="false" ht="15" hidden="false" customHeight="false" outlineLevel="0" collapsed="false">
      <c r="A36" s="2" t="s">
        <v>423</v>
      </c>
      <c r="B36" s="2" t="s">
        <v>424</v>
      </c>
      <c r="C36" s="2" t="s">
        <v>334</v>
      </c>
      <c r="D36" s="2" t="n">
        <v>2</v>
      </c>
      <c r="E36" s="2" t="n">
        <v>14</v>
      </c>
      <c r="F36" s="2" t="str">
        <f aca="false">CHOOSE(IF(C36="EI",IF(D36&lt;=1,IF(E36&lt;=15,1,2),IF(D36=2,IF(E36&lt;=4,1,IF(E36&lt;=15,2,3)),IF(E36&lt;=4,2,3))),IF(D36&lt;=1,IF(E36&lt;=19,1,2),IF(D36&lt;=3,IF(E36&lt;=5,1,IF(E36&lt;=19,2,3)),IF(E36&lt;=5,2,3)))),"Низкая","Средняя","Высокая")</f>
        <v>Средняя</v>
      </c>
      <c r="G36" s="2" t="n">
        <f aca="false">IF(C36="EI",CHOOSE(IF(C36="EI",IF(D36&lt;=1,IF(E36&lt;=15,1,2),IF(D36=2,IF(E36&lt;=4,1,IF(E36&lt;=15,2,3)),IF(E36&lt;=4,2,3))),IF(D36&lt;=1,IF(E36&lt;=19,1,2),IF(D36&lt;=3,IF(E36&lt;=5,1,IF(E36&lt;=19,2,3)),IF(E36&lt;=5,2,3)))),3,4,6),IF(C36="EO",CHOOSE(IF(C36="EI",IF(D36&lt;=1,IF(E36&lt;=15,1,2),IF(D36=2,IF(E36&lt;=4,1,IF(E36&lt;=15,2,3)),IF(E36&lt;=4,2,3))),IF(D36&lt;=1,IF(E36&lt;=19,1,2),IF(D36&lt;=3,IF(E36&lt;=5,1,IF(E36&lt;=19,2,3)),IF(E36&lt;=5,2,3)))),4,5,7),CHOOSE(IF(C36="EI",IF(D36&lt;=1,IF(E36&lt;=15,1,2),IF(D36=2,IF(E36&lt;=4,1,IF(E36&lt;=15,2,3)),IF(E36&lt;=4,2,3))),IF(D36&lt;=1,IF(E36&lt;=19,1,2),IF(D36&lt;=3,IF(E36&lt;=5,1,IF(E36&lt;=19,2,3)),IF(E36&lt;=5,2,3)))),3,4,6)))</f>
        <v>4</v>
      </c>
      <c r="H36" s="2" t="s">
        <v>422</v>
      </c>
      <c r="I36" s="2" t="s">
        <v>99</v>
      </c>
    </row>
    <row r="37" customFormat="false" ht="15" hidden="false" customHeight="false" outlineLevel="0" collapsed="false">
      <c r="A37" s="3" t="s">
        <v>425</v>
      </c>
      <c r="B37" s="3" t="s">
        <v>426</v>
      </c>
      <c r="C37" s="3" t="s">
        <v>334</v>
      </c>
      <c r="D37" s="3" t="n">
        <v>3</v>
      </c>
      <c r="E37" s="3" t="n">
        <v>2</v>
      </c>
      <c r="F37" s="3" t="str">
        <f aca="false">CHOOSE(IF(C37="EI",IF(D37&lt;=1,IF(E37&lt;=15,1,2),IF(D37=2,IF(E37&lt;=4,1,IF(E37&lt;=15,2,3)),IF(E37&lt;=4,2,3))),IF(D37&lt;=1,IF(E37&lt;=19,1,2),IF(D37&lt;=3,IF(E37&lt;=5,1,IF(E37&lt;=19,2,3)),IF(E37&lt;=5,2,3)))),"Низкая","Средняя","Высокая")</f>
        <v>Средняя</v>
      </c>
      <c r="G37" s="3" t="n">
        <f aca="false">IF(C37="EI",CHOOSE(IF(C37="EI",IF(D37&lt;=1,IF(E37&lt;=15,1,2),IF(D37=2,IF(E37&lt;=4,1,IF(E37&lt;=15,2,3)),IF(E37&lt;=4,2,3))),IF(D37&lt;=1,IF(E37&lt;=19,1,2),IF(D37&lt;=3,IF(E37&lt;=5,1,IF(E37&lt;=19,2,3)),IF(E37&lt;=5,2,3)))),3,4,6),IF(C37="EO",CHOOSE(IF(C37="EI",IF(D37&lt;=1,IF(E37&lt;=15,1,2),IF(D37=2,IF(E37&lt;=4,1,IF(E37&lt;=15,2,3)),IF(E37&lt;=4,2,3))),IF(D37&lt;=1,IF(E37&lt;=19,1,2),IF(D37&lt;=3,IF(E37&lt;=5,1,IF(E37&lt;=19,2,3)),IF(E37&lt;=5,2,3)))),4,5,7),CHOOSE(IF(C37="EI",IF(D37&lt;=1,IF(E37&lt;=15,1,2),IF(D37=2,IF(E37&lt;=4,1,IF(E37&lt;=15,2,3)),IF(E37&lt;=4,2,3))),IF(D37&lt;=1,IF(E37&lt;=19,1,2),IF(D37&lt;=3,IF(E37&lt;=5,1,IF(E37&lt;=19,2,3)),IF(E37&lt;=5,2,3)))),3,4,6)))</f>
        <v>4</v>
      </c>
      <c r="H37" s="3" t="s">
        <v>427</v>
      </c>
      <c r="I37" s="3" t="s">
        <v>99</v>
      </c>
    </row>
    <row r="38" customFormat="false" ht="15" hidden="false" customHeight="false" outlineLevel="0" collapsed="false">
      <c r="A38" s="2" t="s">
        <v>428</v>
      </c>
      <c r="B38" s="2" t="s">
        <v>429</v>
      </c>
      <c r="C38" s="2" t="s">
        <v>334</v>
      </c>
      <c r="D38" s="2" t="n">
        <v>2</v>
      </c>
      <c r="E38" s="2" t="n">
        <v>15</v>
      </c>
      <c r="F38" s="2" t="str">
        <f aca="false">CHOOSE(IF(C38="EI",IF(D38&lt;=1,IF(E38&lt;=15,1,2),IF(D38=2,IF(E38&lt;=4,1,IF(E38&lt;=15,2,3)),IF(E38&lt;=4,2,3))),IF(D38&lt;=1,IF(E38&lt;=19,1,2),IF(D38&lt;=3,IF(E38&lt;=5,1,IF(E38&lt;=19,2,3)),IF(E38&lt;=5,2,3)))),"Низкая","Средняя","Высокая")</f>
        <v>Средняя</v>
      </c>
      <c r="G38" s="2" t="n">
        <f aca="false">IF(C38="EI",CHOOSE(IF(C38="EI",IF(D38&lt;=1,IF(E38&lt;=15,1,2),IF(D38=2,IF(E38&lt;=4,1,IF(E38&lt;=15,2,3)),IF(E38&lt;=4,2,3))),IF(D38&lt;=1,IF(E38&lt;=19,1,2),IF(D38&lt;=3,IF(E38&lt;=5,1,IF(E38&lt;=19,2,3)),IF(E38&lt;=5,2,3)))),3,4,6),IF(C38="EO",CHOOSE(IF(C38="EI",IF(D38&lt;=1,IF(E38&lt;=15,1,2),IF(D38=2,IF(E38&lt;=4,1,IF(E38&lt;=15,2,3)),IF(E38&lt;=4,2,3))),IF(D38&lt;=1,IF(E38&lt;=19,1,2),IF(D38&lt;=3,IF(E38&lt;=5,1,IF(E38&lt;=19,2,3)),IF(E38&lt;=5,2,3)))),4,5,7),CHOOSE(IF(C38="EI",IF(D38&lt;=1,IF(E38&lt;=15,1,2),IF(D38=2,IF(E38&lt;=4,1,IF(E38&lt;=15,2,3)),IF(E38&lt;=4,2,3))),IF(D38&lt;=1,IF(E38&lt;=19,1,2),IF(D38&lt;=3,IF(E38&lt;=5,1,IF(E38&lt;=19,2,3)),IF(E38&lt;=5,2,3)))),3,4,6)))</f>
        <v>4</v>
      </c>
      <c r="H38" s="2" t="s">
        <v>430</v>
      </c>
      <c r="I38" s="2" t="s">
        <v>103</v>
      </c>
    </row>
    <row r="39" customFormat="false" ht="15" hidden="false" customHeight="false" outlineLevel="0" collapsed="false">
      <c r="A39" s="3" t="s">
        <v>431</v>
      </c>
      <c r="B39" s="3" t="s">
        <v>432</v>
      </c>
      <c r="C39" s="3" t="s">
        <v>334</v>
      </c>
      <c r="D39" s="3" t="n">
        <v>2</v>
      </c>
      <c r="E39" s="3" t="n">
        <v>15</v>
      </c>
      <c r="F39" s="3" t="str">
        <f aca="false">CHOOSE(IF(C39="EI",IF(D39&lt;=1,IF(E39&lt;=15,1,2),IF(D39=2,IF(E39&lt;=4,1,IF(E39&lt;=15,2,3)),IF(E39&lt;=4,2,3))),IF(D39&lt;=1,IF(E39&lt;=19,1,2),IF(D39&lt;=3,IF(E39&lt;=5,1,IF(E39&lt;=19,2,3)),IF(E39&lt;=5,2,3)))),"Низкая","Средняя","Высокая")</f>
        <v>Средняя</v>
      </c>
      <c r="G39" s="3" t="n">
        <f aca="false">IF(C39="EI",CHOOSE(IF(C39="EI",IF(D39&lt;=1,IF(E39&lt;=15,1,2),IF(D39=2,IF(E39&lt;=4,1,IF(E39&lt;=15,2,3)),IF(E39&lt;=4,2,3))),IF(D39&lt;=1,IF(E39&lt;=19,1,2),IF(D39&lt;=3,IF(E39&lt;=5,1,IF(E39&lt;=19,2,3)),IF(E39&lt;=5,2,3)))),3,4,6),IF(C39="EO",CHOOSE(IF(C39="EI",IF(D39&lt;=1,IF(E39&lt;=15,1,2),IF(D39=2,IF(E39&lt;=4,1,IF(E39&lt;=15,2,3)),IF(E39&lt;=4,2,3))),IF(D39&lt;=1,IF(E39&lt;=19,1,2),IF(D39&lt;=3,IF(E39&lt;=5,1,IF(E39&lt;=19,2,3)),IF(E39&lt;=5,2,3)))),4,5,7),CHOOSE(IF(C39="EI",IF(D39&lt;=1,IF(E39&lt;=15,1,2),IF(D39=2,IF(E39&lt;=4,1,IF(E39&lt;=15,2,3)),IF(E39&lt;=4,2,3))),IF(D39&lt;=1,IF(E39&lt;=19,1,2),IF(D39&lt;=3,IF(E39&lt;=5,1,IF(E39&lt;=19,2,3)),IF(E39&lt;=5,2,3)))),3,4,6)))</f>
        <v>4</v>
      </c>
      <c r="H39" s="3" t="s">
        <v>430</v>
      </c>
      <c r="I39" s="3" t="s">
        <v>103</v>
      </c>
    </row>
    <row r="40" customFormat="false" ht="15" hidden="false" customHeight="false" outlineLevel="0" collapsed="false">
      <c r="A40" s="2" t="s">
        <v>433</v>
      </c>
      <c r="B40" s="2" t="s">
        <v>434</v>
      </c>
      <c r="C40" s="2" t="s">
        <v>334</v>
      </c>
      <c r="D40" s="2" t="n">
        <v>2</v>
      </c>
      <c r="E40" s="2" t="n">
        <v>18</v>
      </c>
      <c r="F40" s="2" t="str">
        <f aca="false">CHOOSE(IF(C40="EI",IF(D40&lt;=1,IF(E40&lt;=15,1,2),IF(D40=2,IF(E40&lt;=4,1,IF(E40&lt;=15,2,3)),IF(E40&lt;=4,2,3))),IF(D40&lt;=1,IF(E40&lt;=19,1,2),IF(D40&lt;=3,IF(E40&lt;=5,1,IF(E40&lt;=19,2,3)),IF(E40&lt;=5,2,3)))),"Низкая","Средняя","Высокая")</f>
        <v>Высокая</v>
      </c>
      <c r="G40" s="2" t="n">
        <f aca="false">IF(C40="EI",CHOOSE(IF(C40="EI",IF(D40&lt;=1,IF(E40&lt;=15,1,2),IF(D40=2,IF(E40&lt;=4,1,IF(E40&lt;=15,2,3)),IF(E40&lt;=4,2,3))),IF(D40&lt;=1,IF(E40&lt;=19,1,2),IF(D40&lt;=3,IF(E40&lt;=5,1,IF(E40&lt;=19,2,3)),IF(E40&lt;=5,2,3)))),3,4,6),IF(C40="EO",CHOOSE(IF(C40="EI",IF(D40&lt;=1,IF(E40&lt;=15,1,2),IF(D40=2,IF(E40&lt;=4,1,IF(E40&lt;=15,2,3)),IF(E40&lt;=4,2,3))),IF(D40&lt;=1,IF(E40&lt;=19,1,2),IF(D40&lt;=3,IF(E40&lt;=5,1,IF(E40&lt;=19,2,3)),IF(E40&lt;=5,2,3)))),4,5,7),CHOOSE(IF(C40="EI",IF(D40&lt;=1,IF(E40&lt;=15,1,2),IF(D40=2,IF(E40&lt;=4,1,IF(E40&lt;=15,2,3)),IF(E40&lt;=4,2,3))),IF(D40&lt;=1,IF(E40&lt;=19,1,2),IF(D40&lt;=3,IF(E40&lt;=5,1,IF(E40&lt;=19,2,3)),IF(E40&lt;=5,2,3)))),3,4,6)))</f>
        <v>6</v>
      </c>
      <c r="H40" s="2" t="s">
        <v>430</v>
      </c>
      <c r="I40" s="2" t="s">
        <v>103</v>
      </c>
    </row>
    <row r="41" customFormat="false" ht="15" hidden="false" customHeight="false" outlineLevel="0" collapsed="false">
      <c r="A41" s="3" t="s">
        <v>435</v>
      </c>
      <c r="B41" s="3" t="s">
        <v>436</v>
      </c>
      <c r="C41" s="3" t="s">
        <v>334</v>
      </c>
      <c r="D41" s="3" t="n">
        <v>2</v>
      </c>
      <c r="E41" s="3" t="n">
        <v>18</v>
      </c>
      <c r="F41" s="3" t="str">
        <f aca="false">CHOOSE(IF(C41="EI",IF(D41&lt;=1,IF(E41&lt;=15,1,2),IF(D41=2,IF(E41&lt;=4,1,IF(E41&lt;=15,2,3)),IF(E41&lt;=4,2,3))),IF(D41&lt;=1,IF(E41&lt;=19,1,2),IF(D41&lt;=3,IF(E41&lt;=5,1,IF(E41&lt;=19,2,3)),IF(E41&lt;=5,2,3)))),"Низкая","Средняя","Высокая")</f>
        <v>Высокая</v>
      </c>
      <c r="G41" s="3" t="n">
        <f aca="false">IF(C41="EI",CHOOSE(IF(C41="EI",IF(D41&lt;=1,IF(E41&lt;=15,1,2),IF(D41=2,IF(E41&lt;=4,1,IF(E41&lt;=15,2,3)),IF(E41&lt;=4,2,3))),IF(D41&lt;=1,IF(E41&lt;=19,1,2),IF(D41&lt;=3,IF(E41&lt;=5,1,IF(E41&lt;=19,2,3)),IF(E41&lt;=5,2,3)))),3,4,6),IF(C41="EO",CHOOSE(IF(C41="EI",IF(D41&lt;=1,IF(E41&lt;=15,1,2),IF(D41=2,IF(E41&lt;=4,1,IF(E41&lt;=15,2,3)),IF(E41&lt;=4,2,3))),IF(D41&lt;=1,IF(E41&lt;=19,1,2),IF(D41&lt;=3,IF(E41&lt;=5,1,IF(E41&lt;=19,2,3)),IF(E41&lt;=5,2,3)))),4,5,7),CHOOSE(IF(C41="EI",IF(D41&lt;=1,IF(E41&lt;=15,1,2),IF(D41=2,IF(E41&lt;=4,1,IF(E41&lt;=15,2,3)),IF(E41&lt;=4,2,3))),IF(D41&lt;=1,IF(E41&lt;=19,1,2),IF(D41&lt;=3,IF(E41&lt;=5,1,IF(E41&lt;=19,2,3)),IF(E41&lt;=5,2,3)))),3,4,6)))</f>
        <v>6</v>
      </c>
      <c r="H41" s="3" t="s">
        <v>430</v>
      </c>
      <c r="I41" s="3" t="s">
        <v>103</v>
      </c>
    </row>
    <row r="42" customFormat="false" ht="15" hidden="false" customHeight="false" outlineLevel="0" collapsed="false">
      <c r="A42" s="2" t="s">
        <v>437</v>
      </c>
      <c r="B42" s="2" t="s">
        <v>438</v>
      </c>
      <c r="C42" s="2" t="s">
        <v>334</v>
      </c>
      <c r="D42" s="2" t="n">
        <v>2</v>
      </c>
      <c r="E42" s="2" t="n">
        <v>6</v>
      </c>
      <c r="F42" s="2" t="str">
        <f aca="false">CHOOSE(IF(C42="EI",IF(D42&lt;=1,IF(E42&lt;=15,1,2),IF(D42=2,IF(E42&lt;=4,1,IF(E42&lt;=15,2,3)),IF(E42&lt;=4,2,3))),IF(D42&lt;=1,IF(E42&lt;=19,1,2),IF(D42&lt;=3,IF(E42&lt;=5,1,IF(E42&lt;=19,2,3)),IF(E42&lt;=5,2,3)))),"Низкая","Средняя","Высокая")</f>
        <v>Средняя</v>
      </c>
      <c r="G42" s="2" t="n">
        <f aca="false">IF(C42="EI",CHOOSE(IF(C42="EI",IF(D42&lt;=1,IF(E42&lt;=15,1,2),IF(D42=2,IF(E42&lt;=4,1,IF(E42&lt;=15,2,3)),IF(E42&lt;=4,2,3))),IF(D42&lt;=1,IF(E42&lt;=19,1,2),IF(D42&lt;=3,IF(E42&lt;=5,1,IF(E42&lt;=19,2,3)),IF(E42&lt;=5,2,3)))),3,4,6),IF(C42="EO",CHOOSE(IF(C42="EI",IF(D42&lt;=1,IF(E42&lt;=15,1,2),IF(D42=2,IF(E42&lt;=4,1,IF(E42&lt;=15,2,3)),IF(E42&lt;=4,2,3))),IF(D42&lt;=1,IF(E42&lt;=19,1,2),IF(D42&lt;=3,IF(E42&lt;=5,1,IF(E42&lt;=19,2,3)),IF(E42&lt;=5,2,3)))),4,5,7),CHOOSE(IF(C42="EI",IF(D42&lt;=1,IF(E42&lt;=15,1,2),IF(D42=2,IF(E42&lt;=4,1,IF(E42&lt;=15,2,3)),IF(E42&lt;=4,2,3))),IF(D42&lt;=1,IF(E42&lt;=19,1,2),IF(D42&lt;=3,IF(E42&lt;=5,1,IF(E42&lt;=19,2,3)),IF(E42&lt;=5,2,3)))),3,4,6)))</f>
        <v>4</v>
      </c>
      <c r="H42" s="2" t="s">
        <v>375</v>
      </c>
      <c r="I42" s="2" t="s">
        <v>103</v>
      </c>
    </row>
    <row r="43" customFormat="false" ht="15" hidden="false" customHeight="false" outlineLevel="0" collapsed="false">
      <c r="A43" s="3" t="s">
        <v>439</v>
      </c>
      <c r="B43" s="3" t="s">
        <v>440</v>
      </c>
      <c r="C43" s="3" t="s">
        <v>334</v>
      </c>
      <c r="D43" s="3" t="n">
        <v>3</v>
      </c>
      <c r="E43" s="3" t="n">
        <v>4</v>
      </c>
      <c r="F43" s="3" t="str">
        <f aca="false">CHOOSE(IF(C43="EI",IF(D43&lt;=1,IF(E43&lt;=15,1,2),IF(D43=2,IF(E43&lt;=4,1,IF(E43&lt;=15,2,3)),IF(E43&lt;=4,2,3))),IF(D43&lt;=1,IF(E43&lt;=19,1,2),IF(D43&lt;=3,IF(E43&lt;=5,1,IF(E43&lt;=19,2,3)),IF(E43&lt;=5,2,3)))),"Низкая","Средняя","Высокая")</f>
        <v>Средняя</v>
      </c>
      <c r="G43" s="3" t="n">
        <f aca="false">IF(C43="EI",CHOOSE(IF(C43="EI",IF(D43&lt;=1,IF(E43&lt;=15,1,2),IF(D43=2,IF(E43&lt;=4,1,IF(E43&lt;=15,2,3)),IF(E43&lt;=4,2,3))),IF(D43&lt;=1,IF(E43&lt;=19,1,2),IF(D43&lt;=3,IF(E43&lt;=5,1,IF(E43&lt;=19,2,3)),IF(E43&lt;=5,2,3)))),3,4,6),IF(C43="EO",CHOOSE(IF(C43="EI",IF(D43&lt;=1,IF(E43&lt;=15,1,2),IF(D43=2,IF(E43&lt;=4,1,IF(E43&lt;=15,2,3)),IF(E43&lt;=4,2,3))),IF(D43&lt;=1,IF(E43&lt;=19,1,2),IF(D43&lt;=3,IF(E43&lt;=5,1,IF(E43&lt;=19,2,3)),IF(E43&lt;=5,2,3)))),4,5,7),CHOOSE(IF(C43="EI",IF(D43&lt;=1,IF(E43&lt;=15,1,2),IF(D43=2,IF(E43&lt;=4,1,IF(E43&lt;=15,2,3)),IF(E43&lt;=4,2,3))),IF(D43&lt;=1,IF(E43&lt;=19,1,2),IF(D43&lt;=3,IF(E43&lt;=5,1,IF(E43&lt;=19,2,3)),IF(E43&lt;=5,2,3)))),3,4,6)))</f>
        <v>4</v>
      </c>
      <c r="H43" s="3" t="s">
        <v>370</v>
      </c>
      <c r="I43" s="3" t="s">
        <v>107</v>
      </c>
    </row>
    <row r="44" customFormat="false" ht="15" hidden="false" customHeight="false" outlineLevel="0" collapsed="false">
      <c r="A44" s="2" t="s">
        <v>441</v>
      </c>
      <c r="B44" s="2" t="s">
        <v>442</v>
      </c>
      <c r="C44" s="2" t="s">
        <v>334</v>
      </c>
      <c r="D44" s="2" t="n">
        <v>3</v>
      </c>
      <c r="E44" s="2" t="n">
        <v>5</v>
      </c>
      <c r="F44" s="2" t="str">
        <f aca="false">CHOOSE(IF(C44="EI",IF(D44&lt;=1,IF(E44&lt;=15,1,2),IF(D44=2,IF(E44&lt;=4,1,IF(E44&lt;=15,2,3)),IF(E44&lt;=4,2,3))),IF(D44&lt;=1,IF(E44&lt;=19,1,2),IF(D44&lt;=3,IF(E44&lt;=5,1,IF(E44&lt;=19,2,3)),IF(E44&lt;=5,2,3)))),"Низкая","Средняя","Высокая")</f>
        <v>Высокая</v>
      </c>
      <c r="G44" s="2" t="n">
        <f aca="false">IF(C44="EI",CHOOSE(IF(C44="EI",IF(D44&lt;=1,IF(E44&lt;=15,1,2),IF(D44=2,IF(E44&lt;=4,1,IF(E44&lt;=15,2,3)),IF(E44&lt;=4,2,3))),IF(D44&lt;=1,IF(E44&lt;=19,1,2),IF(D44&lt;=3,IF(E44&lt;=5,1,IF(E44&lt;=19,2,3)),IF(E44&lt;=5,2,3)))),3,4,6),IF(C44="EO",CHOOSE(IF(C44="EI",IF(D44&lt;=1,IF(E44&lt;=15,1,2),IF(D44=2,IF(E44&lt;=4,1,IF(E44&lt;=15,2,3)),IF(E44&lt;=4,2,3))),IF(D44&lt;=1,IF(E44&lt;=19,1,2),IF(D44&lt;=3,IF(E44&lt;=5,1,IF(E44&lt;=19,2,3)),IF(E44&lt;=5,2,3)))),4,5,7),CHOOSE(IF(C44="EI",IF(D44&lt;=1,IF(E44&lt;=15,1,2),IF(D44=2,IF(E44&lt;=4,1,IF(E44&lt;=15,2,3)),IF(E44&lt;=4,2,3))),IF(D44&lt;=1,IF(E44&lt;=19,1,2),IF(D44&lt;=3,IF(E44&lt;=5,1,IF(E44&lt;=19,2,3)),IF(E44&lt;=5,2,3)))),3,4,6)))</f>
        <v>6</v>
      </c>
      <c r="H44" s="2" t="s">
        <v>443</v>
      </c>
      <c r="I44" s="2" t="s">
        <v>107</v>
      </c>
    </row>
    <row r="45" customFormat="false" ht="15" hidden="false" customHeight="false" outlineLevel="0" collapsed="false">
      <c r="A45" s="3" t="s">
        <v>444</v>
      </c>
      <c r="B45" s="3" t="s">
        <v>445</v>
      </c>
      <c r="C45" s="3" t="s">
        <v>349</v>
      </c>
      <c r="D45" s="3" t="n">
        <v>3</v>
      </c>
      <c r="E45" s="3" t="n">
        <v>12</v>
      </c>
      <c r="F45" s="3" t="str">
        <f aca="false">CHOOSE(IF(C45="EI",IF(D45&lt;=1,IF(E45&lt;=15,1,2),IF(D45=2,IF(E45&lt;=4,1,IF(E45&lt;=15,2,3)),IF(E45&lt;=4,2,3))),IF(D45&lt;=1,IF(E45&lt;=19,1,2),IF(D45&lt;=3,IF(E45&lt;=5,1,IF(E45&lt;=19,2,3)),IF(E45&lt;=5,2,3)))),"Низкая","Средняя","Высокая")</f>
        <v>Средняя</v>
      </c>
      <c r="G45" s="3" t="n">
        <f aca="false">IF(C45="EI",CHOOSE(IF(C45="EI",IF(D45&lt;=1,IF(E45&lt;=15,1,2),IF(D45=2,IF(E45&lt;=4,1,IF(E45&lt;=15,2,3)),IF(E45&lt;=4,2,3))),IF(D45&lt;=1,IF(E45&lt;=19,1,2),IF(D45&lt;=3,IF(E45&lt;=5,1,IF(E45&lt;=19,2,3)),IF(E45&lt;=5,2,3)))),3,4,6),IF(C45="EO",CHOOSE(IF(C45="EI",IF(D45&lt;=1,IF(E45&lt;=15,1,2),IF(D45=2,IF(E45&lt;=4,1,IF(E45&lt;=15,2,3)),IF(E45&lt;=4,2,3))),IF(D45&lt;=1,IF(E45&lt;=19,1,2),IF(D45&lt;=3,IF(E45&lt;=5,1,IF(E45&lt;=19,2,3)),IF(E45&lt;=5,2,3)))),4,5,7),CHOOSE(IF(C45="EI",IF(D45&lt;=1,IF(E45&lt;=15,1,2),IF(D45=2,IF(E45&lt;=4,1,IF(E45&lt;=15,2,3)),IF(E45&lt;=4,2,3))),IF(D45&lt;=1,IF(E45&lt;=19,1,2),IF(D45&lt;=3,IF(E45&lt;=5,1,IF(E45&lt;=19,2,3)),IF(E45&lt;=5,2,3)))),3,4,6)))</f>
        <v>4</v>
      </c>
      <c r="H45" s="3" t="s">
        <v>370</v>
      </c>
      <c r="I45" s="3" t="s">
        <v>107</v>
      </c>
    </row>
    <row r="46" customFormat="false" ht="15" hidden="false" customHeight="false" outlineLevel="0" collapsed="false">
      <c r="A46" s="2" t="s">
        <v>446</v>
      </c>
      <c r="B46" s="2" t="s">
        <v>447</v>
      </c>
      <c r="C46" s="2" t="s">
        <v>334</v>
      </c>
      <c r="D46" s="2" t="n">
        <v>2</v>
      </c>
      <c r="E46" s="2" t="n">
        <v>3</v>
      </c>
      <c r="F46" s="2" t="str">
        <f aca="false">CHOOSE(IF(C46="EI",IF(D46&lt;=1,IF(E46&lt;=15,1,2),IF(D46=2,IF(E46&lt;=4,1,IF(E46&lt;=15,2,3)),IF(E46&lt;=4,2,3))),IF(D46&lt;=1,IF(E46&lt;=19,1,2),IF(D46&lt;=3,IF(E46&lt;=5,1,IF(E46&lt;=19,2,3)),IF(E46&lt;=5,2,3)))),"Низкая","Средняя","Высокая")</f>
        <v>Низкая</v>
      </c>
      <c r="G46" s="2" t="n">
        <f aca="false">IF(C46="EI",CHOOSE(IF(C46="EI",IF(D46&lt;=1,IF(E46&lt;=15,1,2),IF(D46=2,IF(E46&lt;=4,1,IF(E46&lt;=15,2,3)),IF(E46&lt;=4,2,3))),IF(D46&lt;=1,IF(E46&lt;=19,1,2),IF(D46&lt;=3,IF(E46&lt;=5,1,IF(E46&lt;=19,2,3)),IF(E46&lt;=5,2,3)))),3,4,6),IF(C46="EO",CHOOSE(IF(C46="EI",IF(D46&lt;=1,IF(E46&lt;=15,1,2),IF(D46=2,IF(E46&lt;=4,1,IF(E46&lt;=15,2,3)),IF(E46&lt;=4,2,3))),IF(D46&lt;=1,IF(E46&lt;=19,1,2),IF(D46&lt;=3,IF(E46&lt;=5,1,IF(E46&lt;=19,2,3)),IF(E46&lt;=5,2,3)))),4,5,7),CHOOSE(IF(C46="EI",IF(D46&lt;=1,IF(E46&lt;=15,1,2),IF(D46=2,IF(E46&lt;=4,1,IF(E46&lt;=15,2,3)),IF(E46&lt;=4,2,3))),IF(D46&lt;=1,IF(E46&lt;=19,1,2),IF(D46&lt;=3,IF(E46&lt;=5,1,IF(E46&lt;=19,2,3)),IF(E46&lt;=5,2,3)))),3,4,6)))</f>
        <v>3</v>
      </c>
      <c r="H46" s="2" t="s">
        <v>448</v>
      </c>
      <c r="I46" s="2" t="s">
        <v>111</v>
      </c>
    </row>
    <row r="47" customFormat="false" ht="15" hidden="false" customHeight="false" outlineLevel="0" collapsed="false">
      <c r="A47" s="3" t="s">
        <v>449</v>
      </c>
      <c r="B47" s="3" t="s">
        <v>450</v>
      </c>
      <c r="C47" s="3" t="s">
        <v>334</v>
      </c>
      <c r="D47" s="3" t="n">
        <v>2</v>
      </c>
      <c r="E47" s="3" t="n">
        <v>2</v>
      </c>
      <c r="F47" s="3" t="str">
        <f aca="false">CHOOSE(IF(C47="EI",IF(D47&lt;=1,IF(E47&lt;=15,1,2),IF(D47=2,IF(E47&lt;=4,1,IF(E47&lt;=15,2,3)),IF(E47&lt;=4,2,3))),IF(D47&lt;=1,IF(E47&lt;=19,1,2),IF(D47&lt;=3,IF(E47&lt;=5,1,IF(E47&lt;=19,2,3)),IF(E47&lt;=5,2,3)))),"Низкая","Средняя","Высокая")</f>
        <v>Низкая</v>
      </c>
      <c r="G47" s="3" t="n">
        <f aca="false">IF(C47="EI",CHOOSE(IF(C47="EI",IF(D47&lt;=1,IF(E47&lt;=15,1,2),IF(D47=2,IF(E47&lt;=4,1,IF(E47&lt;=15,2,3)),IF(E47&lt;=4,2,3))),IF(D47&lt;=1,IF(E47&lt;=19,1,2),IF(D47&lt;=3,IF(E47&lt;=5,1,IF(E47&lt;=19,2,3)),IF(E47&lt;=5,2,3)))),3,4,6),IF(C47="EO",CHOOSE(IF(C47="EI",IF(D47&lt;=1,IF(E47&lt;=15,1,2),IF(D47=2,IF(E47&lt;=4,1,IF(E47&lt;=15,2,3)),IF(E47&lt;=4,2,3))),IF(D47&lt;=1,IF(E47&lt;=19,1,2),IF(D47&lt;=3,IF(E47&lt;=5,1,IF(E47&lt;=19,2,3)),IF(E47&lt;=5,2,3)))),4,5,7),CHOOSE(IF(C47="EI",IF(D47&lt;=1,IF(E47&lt;=15,1,2),IF(D47=2,IF(E47&lt;=4,1,IF(E47&lt;=15,2,3)),IF(E47&lt;=4,2,3))),IF(D47&lt;=1,IF(E47&lt;=19,1,2),IF(D47&lt;=3,IF(E47&lt;=5,1,IF(E47&lt;=19,2,3)),IF(E47&lt;=5,2,3)))),3,4,6)))</f>
        <v>3</v>
      </c>
      <c r="H47" s="3" t="s">
        <v>448</v>
      </c>
      <c r="I47" s="3" t="s">
        <v>111</v>
      </c>
    </row>
    <row r="48" customFormat="false" ht="15" hidden="false" customHeight="false" outlineLevel="0" collapsed="false">
      <c r="A48" s="2" t="s">
        <v>451</v>
      </c>
      <c r="B48" s="2" t="s">
        <v>452</v>
      </c>
      <c r="C48" s="2" t="s">
        <v>334</v>
      </c>
      <c r="D48" s="2" t="n">
        <v>3</v>
      </c>
      <c r="E48" s="2" t="n">
        <v>4</v>
      </c>
      <c r="F48" s="2" t="str">
        <f aca="false">CHOOSE(IF(C48="EI",IF(D48&lt;=1,IF(E48&lt;=15,1,2),IF(D48=2,IF(E48&lt;=4,1,IF(E48&lt;=15,2,3)),IF(E48&lt;=4,2,3))),IF(D48&lt;=1,IF(E48&lt;=19,1,2),IF(D48&lt;=3,IF(E48&lt;=5,1,IF(E48&lt;=19,2,3)),IF(E48&lt;=5,2,3)))),"Низкая","Средняя","Высокая")</f>
        <v>Средняя</v>
      </c>
      <c r="G48" s="2" t="n">
        <f aca="false">IF(C48="EI",CHOOSE(IF(C48="EI",IF(D48&lt;=1,IF(E48&lt;=15,1,2),IF(D48=2,IF(E48&lt;=4,1,IF(E48&lt;=15,2,3)),IF(E48&lt;=4,2,3))),IF(D48&lt;=1,IF(E48&lt;=19,1,2),IF(D48&lt;=3,IF(E48&lt;=5,1,IF(E48&lt;=19,2,3)),IF(E48&lt;=5,2,3)))),3,4,6),IF(C48="EO",CHOOSE(IF(C48="EI",IF(D48&lt;=1,IF(E48&lt;=15,1,2),IF(D48=2,IF(E48&lt;=4,1,IF(E48&lt;=15,2,3)),IF(E48&lt;=4,2,3))),IF(D48&lt;=1,IF(E48&lt;=19,1,2),IF(D48&lt;=3,IF(E48&lt;=5,1,IF(E48&lt;=19,2,3)),IF(E48&lt;=5,2,3)))),4,5,7),CHOOSE(IF(C48="EI",IF(D48&lt;=1,IF(E48&lt;=15,1,2),IF(D48=2,IF(E48&lt;=4,1,IF(E48&lt;=15,2,3)),IF(E48&lt;=4,2,3))),IF(D48&lt;=1,IF(E48&lt;=19,1,2),IF(D48&lt;=3,IF(E48&lt;=5,1,IF(E48&lt;=19,2,3)),IF(E48&lt;=5,2,3)))),3,4,6)))</f>
        <v>4</v>
      </c>
      <c r="H48" s="2" t="s">
        <v>358</v>
      </c>
      <c r="I48" s="2" t="s">
        <v>111</v>
      </c>
    </row>
    <row r="49" customFormat="false" ht="15" hidden="false" customHeight="false" outlineLevel="0" collapsed="false">
      <c r="A49" s="3" t="s">
        <v>453</v>
      </c>
      <c r="B49" s="3" t="s">
        <v>454</v>
      </c>
      <c r="C49" s="3" t="s">
        <v>334</v>
      </c>
      <c r="D49" s="3" t="n">
        <v>2</v>
      </c>
      <c r="E49" s="3" t="n">
        <v>2</v>
      </c>
      <c r="F49" s="3" t="str">
        <f aca="false">CHOOSE(IF(C49="EI",IF(D49&lt;=1,IF(E49&lt;=15,1,2),IF(D49=2,IF(E49&lt;=4,1,IF(E49&lt;=15,2,3)),IF(E49&lt;=4,2,3))),IF(D49&lt;=1,IF(E49&lt;=19,1,2),IF(D49&lt;=3,IF(E49&lt;=5,1,IF(E49&lt;=19,2,3)),IF(E49&lt;=5,2,3)))),"Низкая","Средняя","Высокая")</f>
        <v>Низкая</v>
      </c>
      <c r="G49" s="3" t="n">
        <f aca="false">IF(C49="EI",CHOOSE(IF(C49="EI",IF(D49&lt;=1,IF(E49&lt;=15,1,2),IF(D49=2,IF(E49&lt;=4,1,IF(E49&lt;=15,2,3)),IF(E49&lt;=4,2,3))),IF(D49&lt;=1,IF(E49&lt;=19,1,2),IF(D49&lt;=3,IF(E49&lt;=5,1,IF(E49&lt;=19,2,3)),IF(E49&lt;=5,2,3)))),3,4,6),IF(C49="EO",CHOOSE(IF(C49="EI",IF(D49&lt;=1,IF(E49&lt;=15,1,2),IF(D49=2,IF(E49&lt;=4,1,IF(E49&lt;=15,2,3)),IF(E49&lt;=4,2,3))),IF(D49&lt;=1,IF(E49&lt;=19,1,2),IF(D49&lt;=3,IF(E49&lt;=5,1,IF(E49&lt;=19,2,3)),IF(E49&lt;=5,2,3)))),4,5,7),CHOOSE(IF(C49="EI",IF(D49&lt;=1,IF(E49&lt;=15,1,2),IF(D49=2,IF(E49&lt;=4,1,IF(E49&lt;=15,2,3)),IF(E49&lt;=4,2,3))),IF(D49&lt;=1,IF(E49&lt;=19,1,2),IF(D49&lt;=3,IF(E49&lt;=5,1,IF(E49&lt;=19,2,3)),IF(E49&lt;=5,2,3)))),3,4,6)))</f>
        <v>3</v>
      </c>
      <c r="H49" s="3" t="s">
        <v>361</v>
      </c>
      <c r="I49" s="3" t="s">
        <v>111</v>
      </c>
    </row>
    <row r="50" customFormat="false" ht="15" hidden="false" customHeight="false" outlineLevel="0" collapsed="false">
      <c r="A50" s="2" t="s">
        <v>455</v>
      </c>
      <c r="B50" s="2" t="s">
        <v>456</v>
      </c>
      <c r="C50" s="2" t="s">
        <v>381</v>
      </c>
      <c r="D50" s="2" t="n">
        <v>4</v>
      </c>
      <c r="E50" s="2" t="n">
        <v>18</v>
      </c>
      <c r="F50" s="2" t="str">
        <f aca="false">CHOOSE(IF(C50="EI",IF(D50&lt;=1,IF(E50&lt;=15,1,2),IF(D50=2,IF(E50&lt;=4,1,IF(E50&lt;=15,2,3)),IF(E50&lt;=4,2,3))),IF(D50&lt;=1,IF(E50&lt;=19,1,2),IF(D50&lt;=3,IF(E50&lt;=5,1,IF(E50&lt;=19,2,3)),IF(E50&lt;=5,2,3)))),"Низкая","Средняя","Высокая")</f>
        <v>Высокая</v>
      </c>
      <c r="G50" s="2" t="n">
        <f aca="false">IF(C50="EI",CHOOSE(IF(C50="EI",IF(D50&lt;=1,IF(E50&lt;=15,1,2),IF(D50=2,IF(E50&lt;=4,1,IF(E50&lt;=15,2,3)),IF(E50&lt;=4,2,3))),IF(D50&lt;=1,IF(E50&lt;=19,1,2),IF(D50&lt;=3,IF(E50&lt;=5,1,IF(E50&lt;=19,2,3)),IF(E50&lt;=5,2,3)))),3,4,6),IF(C50="EO",CHOOSE(IF(C50="EI",IF(D50&lt;=1,IF(E50&lt;=15,1,2),IF(D50=2,IF(E50&lt;=4,1,IF(E50&lt;=15,2,3)),IF(E50&lt;=4,2,3))),IF(D50&lt;=1,IF(E50&lt;=19,1,2),IF(D50&lt;=3,IF(E50&lt;=5,1,IF(E50&lt;=19,2,3)),IF(E50&lt;=5,2,3)))),4,5,7),CHOOSE(IF(C50="EI",IF(D50&lt;=1,IF(E50&lt;=15,1,2),IF(D50=2,IF(E50&lt;=4,1,IF(E50&lt;=15,2,3)),IF(E50&lt;=4,2,3))),IF(D50&lt;=1,IF(E50&lt;=19,1,2),IF(D50&lt;=3,IF(E50&lt;=5,1,IF(E50&lt;=19,2,3)),IF(E50&lt;=5,2,3)))),3,4,6)))</f>
        <v>7</v>
      </c>
      <c r="H50" s="2" t="s">
        <v>457</v>
      </c>
      <c r="I50" s="2" t="s">
        <v>115</v>
      </c>
    </row>
    <row r="51" customFormat="false" ht="15" hidden="false" customHeight="false" outlineLevel="0" collapsed="false">
      <c r="A51" s="3" t="s">
        <v>458</v>
      </c>
      <c r="B51" s="3" t="s">
        <v>459</v>
      </c>
      <c r="C51" s="3" t="s">
        <v>334</v>
      </c>
      <c r="D51" s="3" t="n">
        <v>4</v>
      </c>
      <c r="E51" s="3" t="n">
        <v>9</v>
      </c>
      <c r="F51" s="3" t="str">
        <f aca="false">CHOOSE(IF(C51="EI",IF(D51&lt;=1,IF(E51&lt;=15,1,2),IF(D51=2,IF(E51&lt;=4,1,IF(E51&lt;=15,2,3)),IF(E51&lt;=4,2,3))),IF(D51&lt;=1,IF(E51&lt;=19,1,2),IF(D51&lt;=3,IF(E51&lt;=5,1,IF(E51&lt;=19,2,3)),IF(E51&lt;=5,2,3)))),"Низкая","Средняя","Высокая")</f>
        <v>Высокая</v>
      </c>
      <c r="G51" s="3" t="n">
        <f aca="false">IF(C51="EI",CHOOSE(IF(C51="EI",IF(D51&lt;=1,IF(E51&lt;=15,1,2),IF(D51=2,IF(E51&lt;=4,1,IF(E51&lt;=15,2,3)),IF(E51&lt;=4,2,3))),IF(D51&lt;=1,IF(E51&lt;=19,1,2),IF(D51&lt;=3,IF(E51&lt;=5,1,IF(E51&lt;=19,2,3)),IF(E51&lt;=5,2,3)))),3,4,6),IF(C51="EO",CHOOSE(IF(C51="EI",IF(D51&lt;=1,IF(E51&lt;=15,1,2),IF(D51=2,IF(E51&lt;=4,1,IF(E51&lt;=15,2,3)),IF(E51&lt;=4,2,3))),IF(D51&lt;=1,IF(E51&lt;=19,1,2),IF(D51&lt;=3,IF(E51&lt;=5,1,IF(E51&lt;=19,2,3)),IF(E51&lt;=5,2,3)))),4,5,7),CHOOSE(IF(C51="EI",IF(D51&lt;=1,IF(E51&lt;=15,1,2),IF(D51=2,IF(E51&lt;=4,1,IF(E51&lt;=15,2,3)),IF(E51&lt;=4,2,3))),IF(D51&lt;=1,IF(E51&lt;=19,1,2),IF(D51&lt;=3,IF(E51&lt;=5,1,IF(E51&lt;=19,2,3)),IF(E51&lt;=5,2,3)))),3,4,6)))</f>
        <v>6</v>
      </c>
      <c r="H51" s="3" t="s">
        <v>460</v>
      </c>
      <c r="I51" s="3" t="s">
        <v>461</v>
      </c>
    </row>
    <row r="52" customFormat="false" ht="15" hidden="false" customHeight="false" outlineLevel="0" collapsed="false">
      <c r="A52" s="2" t="s">
        <v>462</v>
      </c>
      <c r="B52" s="2" t="s">
        <v>463</v>
      </c>
      <c r="C52" s="2" t="s">
        <v>334</v>
      </c>
      <c r="D52" s="2" t="n">
        <v>3</v>
      </c>
      <c r="E52" s="2" t="n">
        <v>7</v>
      </c>
      <c r="F52" s="2" t="str">
        <f aca="false">CHOOSE(IF(C52="EI",IF(D52&lt;=1,IF(E52&lt;=15,1,2),IF(D52=2,IF(E52&lt;=4,1,IF(E52&lt;=15,2,3)),IF(E52&lt;=4,2,3))),IF(D52&lt;=1,IF(E52&lt;=19,1,2),IF(D52&lt;=3,IF(E52&lt;=5,1,IF(E52&lt;=19,2,3)),IF(E52&lt;=5,2,3)))),"Низкая","Средняя","Высокая")</f>
        <v>Высокая</v>
      </c>
      <c r="G52" s="2" t="n">
        <f aca="false">IF(C52="EI",CHOOSE(IF(C52="EI",IF(D52&lt;=1,IF(E52&lt;=15,1,2),IF(D52=2,IF(E52&lt;=4,1,IF(E52&lt;=15,2,3)),IF(E52&lt;=4,2,3))),IF(D52&lt;=1,IF(E52&lt;=19,1,2),IF(D52&lt;=3,IF(E52&lt;=5,1,IF(E52&lt;=19,2,3)),IF(E52&lt;=5,2,3)))),3,4,6),IF(C52="EO",CHOOSE(IF(C52="EI",IF(D52&lt;=1,IF(E52&lt;=15,1,2),IF(D52=2,IF(E52&lt;=4,1,IF(E52&lt;=15,2,3)),IF(E52&lt;=4,2,3))),IF(D52&lt;=1,IF(E52&lt;=19,1,2),IF(D52&lt;=3,IF(E52&lt;=5,1,IF(E52&lt;=19,2,3)),IF(E52&lt;=5,2,3)))),4,5,7),CHOOSE(IF(C52="EI",IF(D52&lt;=1,IF(E52&lt;=15,1,2),IF(D52=2,IF(E52&lt;=4,1,IF(E52&lt;=15,2,3)),IF(E52&lt;=4,2,3))),IF(D52&lt;=1,IF(E52&lt;=19,1,2),IF(D52&lt;=3,IF(E52&lt;=5,1,IF(E52&lt;=19,2,3)),IF(E52&lt;=5,2,3)))),3,4,6)))</f>
        <v>6</v>
      </c>
      <c r="H52" s="2" t="s">
        <v>464</v>
      </c>
      <c r="I52" s="2" t="s">
        <v>119</v>
      </c>
    </row>
    <row r="53" customFormat="false" ht="15" hidden="false" customHeight="false" outlineLevel="0" collapsed="false">
      <c r="A53" s="3" t="s">
        <v>465</v>
      </c>
      <c r="B53" s="3" t="s">
        <v>466</v>
      </c>
      <c r="C53" s="3" t="s">
        <v>349</v>
      </c>
      <c r="D53" s="3" t="n">
        <v>2</v>
      </c>
      <c r="E53" s="3" t="n">
        <v>8</v>
      </c>
      <c r="F53" s="3" t="str">
        <f aca="false">CHOOSE(IF(C53="EI",IF(D53&lt;=1,IF(E53&lt;=15,1,2),IF(D53=2,IF(E53&lt;=4,1,IF(E53&lt;=15,2,3)),IF(E53&lt;=4,2,3))),IF(D53&lt;=1,IF(E53&lt;=19,1,2),IF(D53&lt;=3,IF(E53&lt;=5,1,IF(E53&lt;=19,2,3)),IF(E53&lt;=5,2,3)))),"Низкая","Средняя","Высокая")</f>
        <v>Средняя</v>
      </c>
      <c r="G53" s="3" t="n">
        <f aca="false">IF(C53="EI",CHOOSE(IF(C53="EI",IF(D53&lt;=1,IF(E53&lt;=15,1,2),IF(D53=2,IF(E53&lt;=4,1,IF(E53&lt;=15,2,3)),IF(E53&lt;=4,2,3))),IF(D53&lt;=1,IF(E53&lt;=19,1,2),IF(D53&lt;=3,IF(E53&lt;=5,1,IF(E53&lt;=19,2,3)),IF(E53&lt;=5,2,3)))),3,4,6),IF(C53="EO",CHOOSE(IF(C53="EI",IF(D53&lt;=1,IF(E53&lt;=15,1,2),IF(D53=2,IF(E53&lt;=4,1,IF(E53&lt;=15,2,3)),IF(E53&lt;=4,2,3))),IF(D53&lt;=1,IF(E53&lt;=19,1,2),IF(D53&lt;=3,IF(E53&lt;=5,1,IF(E53&lt;=19,2,3)),IF(E53&lt;=5,2,3)))),4,5,7),CHOOSE(IF(C53="EI",IF(D53&lt;=1,IF(E53&lt;=15,1,2),IF(D53=2,IF(E53&lt;=4,1,IF(E53&lt;=15,2,3)),IF(E53&lt;=4,2,3))),IF(D53&lt;=1,IF(E53&lt;=19,1,2),IF(D53&lt;=3,IF(E53&lt;=5,1,IF(E53&lt;=19,2,3)),IF(E53&lt;=5,2,3)))),3,4,6)))</f>
        <v>4</v>
      </c>
      <c r="H53" s="3" t="s">
        <v>467</v>
      </c>
      <c r="I53" s="3" t="s">
        <v>119</v>
      </c>
    </row>
    <row r="54" customFormat="false" ht="15" hidden="false" customHeight="false" outlineLevel="0" collapsed="false">
      <c r="A54" s="2" t="s">
        <v>468</v>
      </c>
      <c r="B54" s="2" t="s">
        <v>469</v>
      </c>
      <c r="C54" s="2" t="s">
        <v>334</v>
      </c>
      <c r="D54" s="2" t="n">
        <v>2</v>
      </c>
      <c r="E54" s="2" t="n">
        <v>3</v>
      </c>
      <c r="F54" s="2" t="str">
        <f aca="false">CHOOSE(IF(C54="EI",IF(D54&lt;=1,IF(E54&lt;=15,1,2),IF(D54=2,IF(E54&lt;=4,1,IF(E54&lt;=15,2,3)),IF(E54&lt;=4,2,3))),IF(D54&lt;=1,IF(E54&lt;=19,1,2),IF(D54&lt;=3,IF(E54&lt;=5,1,IF(E54&lt;=19,2,3)),IF(E54&lt;=5,2,3)))),"Низкая","Средняя","Высокая")</f>
        <v>Низкая</v>
      </c>
      <c r="G54" s="2" t="n">
        <f aca="false">IF(C54="EI",CHOOSE(IF(C54="EI",IF(D54&lt;=1,IF(E54&lt;=15,1,2),IF(D54=2,IF(E54&lt;=4,1,IF(E54&lt;=15,2,3)),IF(E54&lt;=4,2,3))),IF(D54&lt;=1,IF(E54&lt;=19,1,2),IF(D54&lt;=3,IF(E54&lt;=5,1,IF(E54&lt;=19,2,3)),IF(E54&lt;=5,2,3)))),3,4,6),IF(C54="EO",CHOOSE(IF(C54="EI",IF(D54&lt;=1,IF(E54&lt;=15,1,2),IF(D54=2,IF(E54&lt;=4,1,IF(E54&lt;=15,2,3)),IF(E54&lt;=4,2,3))),IF(D54&lt;=1,IF(E54&lt;=19,1,2),IF(D54&lt;=3,IF(E54&lt;=5,1,IF(E54&lt;=19,2,3)),IF(E54&lt;=5,2,3)))),4,5,7),CHOOSE(IF(C54="EI",IF(D54&lt;=1,IF(E54&lt;=15,1,2),IF(D54=2,IF(E54&lt;=4,1,IF(E54&lt;=15,2,3)),IF(E54&lt;=4,2,3))),IF(D54&lt;=1,IF(E54&lt;=19,1,2),IF(D54&lt;=3,IF(E54&lt;=5,1,IF(E54&lt;=19,2,3)),IF(E54&lt;=5,2,3)))),3,4,6)))</f>
        <v>3</v>
      </c>
      <c r="H54" s="2" t="s">
        <v>448</v>
      </c>
      <c r="I54" s="2" t="s">
        <v>124</v>
      </c>
    </row>
    <row r="55" customFormat="false" ht="15" hidden="false" customHeight="false" outlineLevel="0" collapsed="false">
      <c r="A55" s="3" t="s">
        <v>470</v>
      </c>
      <c r="B55" s="3" t="s">
        <v>471</v>
      </c>
      <c r="C55" s="3" t="s">
        <v>334</v>
      </c>
      <c r="D55" s="3" t="n">
        <v>2</v>
      </c>
      <c r="E55" s="3" t="n">
        <v>9</v>
      </c>
      <c r="F55" s="3" t="str">
        <f aca="false">CHOOSE(IF(C55="EI",IF(D55&lt;=1,IF(E55&lt;=15,1,2),IF(D55=2,IF(E55&lt;=4,1,IF(E55&lt;=15,2,3)),IF(E55&lt;=4,2,3))),IF(D55&lt;=1,IF(E55&lt;=19,1,2),IF(D55&lt;=3,IF(E55&lt;=5,1,IF(E55&lt;=19,2,3)),IF(E55&lt;=5,2,3)))),"Низкая","Средняя","Высокая")</f>
        <v>Средняя</v>
      </c>
      <c r="G55" s="3" t="n">
        <f aca="false">IF(C55="EI",CHOOSE(IF(C55="EI",IF(D55&lt;=1,IF(E55&lt;=15,1,2),IF(D55=2,IF(E55&lt;=4,1,IF(E55&lt;=15,2,3)),IF(E55&lt;=4,2,3))),IF(D55&lt;=1,IF(E55&lt;=19,1,2),IF(D55&lt;=3,IF(E55&lt;=5,1,IF(E55&lt;=19,2,3)),IF(E55&lt;=5,2,3)))),3,4,6),IF(C55="EO",CHOOSE(IF(C55="EI",IF(D55&lt;=1,IF(E55&lt;=15,1,2),IF(D55=2,IF(E55&lt;=4,1,IF(E55&lt;=15,2,3)),IF(E55&lt;=4,2,3))),IF(D55&lt;=1,IF(E55&lt;=19,1,2),IF(D55&lt;=3,IF(E55&lt;=5,1,IF(E55&lt;=19,2,3)),IF(E55&lt;=5,2,3)))),4,5,7),CHOOSE(IF(C55="EI",IF(D55&lt;=1,IF(E55&lt;=15,1,2),IF(D55=2,IF(E55&lt;=4,1,IF(E55&lt;=15,2,3)),IF(E55&lt;=4,2,3))),IF(D55&lt;=1,IF(E55&lt;=19,1,2),IF(D55&lt;=3,IF(E55&lt;=5,1,IF(E55&lt;=19,2,3)),IF(E55&lt;=5,2,3)))),3,4,6)))</f>
        <v>4</v>
      </c>
      <c r="H55" s="3" t="s">
        <v>472</v>
      </c>
      <c r="I55" s="3" t="s">
        <v>124</v>
      </c>
    </row>
    <row r="56" customFormat="false" ht="15" hidden="false" customHeight="false" outlineLevel="0" collapsed="false">
      <c r="A56" s="2" t="s">
        <v>473</v>
      </c>
      <c r="B56" s="2" t="s">
        <v>474</v>
      </c>
      <c r="C56" s="2" t="s">
        <v>334</v>
      </c>
      <c r="D56" s="2" t="n">
        <v>5</v>
      </c>
      <c r="E56" s="2" t="n">
        <v>5</v>
      </c>
      <c r="F56" s="2" t="str">
        <f aca="false">CHOOSE(IF(C56="EI",IF(D56&lt;=1,IF(E56&lt;=15,1,2),IF(D56=2,IF(E56&lt;=4,1,IF(E56&lt;=15,2,3)),IF(E56&lt;=4,2,3))),IF(D56&lt;=1,IF(E56&lt;=19,1,2),IF(D56&lt;=3,IF(E56&lt;=5,1,IF(E56&lt;=19,2,3)),IF(E56&lt;=5,2,3)))),"Низкая","Средняя","Высокая")</f>
        <v>Высокая</v>
      </c>
      <c r="G56" s="2" t="n">
        <f aca="false">IF(C56="EI",CHOOSE(IF(C56="EI",IF(D56&lt;=1,IF(E56&lt;=15,1,2),IF(D56=2,IF(E56&lt;=4,1,IF(E56&lt;=15,2,3)),IF(E56&lt;=4,2,3))),IF(D56&lt;=1,IF(E56&lt;=19,1,2),IF(D56&lt;=3,IF(E56&lt;=5,1,IF(E56&lt;=19,2,3)),IF(E56&lt;=5,2,3)))),3,4,6),IF(C56="EO",CHOOSE(IF(C56="EI",IF(D56&lt;=1,IF(E56&lt;=15,1,2),IF(D56=2,IF(E56&lt;=4,1,IF(E56&lt;=15,2,3)),IF(E56&lt;=4,2,3))),IF(D56&lt;=1,IF(E56&lt;=19,1,2),IF(D56&lt;=3,IF(E56&lt;=5,1,IF(E56&lt;=19,2,3)),IF(E56&lt;=5,2,3)))),4,5,7),CHOOSE(IF(C56="EI",IF(D56&lt;=1,IF(E56&lt;=15,1,2),IF(D56=2,IF(E56&lt;=4,1,IF(E56&lt;=15,2,3)),IF(E56&lt;=4,2,3))),IF(D56&lt;=1,IF(E56&lt;=19,1,2),IF(D56&lt;=3,IF(E56&lt;=5,1,IF(E56&lt;=19,2,3)),IF(E56&lt;=5,2,3)))),3,4,6)))</f>
        <v>6</v>
      </c>
      <c r="H56" s="2" t="s">
        <v>475</v>
      </c>
      <c r="I56" s="2" t="s">
        <v>128</v>
      </c>
    </row>
    <row r="57" customFormat="false" ht="15" hidden="false" customHeight="false" outlineLevel="0" collapsed="false">
      <c r="A57" s="3" t="s">
        <v>476</v>
      </c>
      <c r="B57" s="3" t="s">
        <v>477</v>
      </c>
      <c r="C57" s="3" t="s">
        <v>334</v>
      </c>
      <c r="D57" s="3" t="n">
        <v>2</v>
      </c>
      <c r="E57" s="3" t="n">
        <v>4</v>
      </c>
      <c r="F57" s="3" t="str">
        <f aca="false">CHOOSE(IF(C57="EI",IF(D57&lt;=1,IF(E57&lt;=15,1,2),IF(D57=2,IF(E57&lt;=4,1,IF(E57&lt;=15,2,3)),IF(E57&lt;=4,2,3))),IF(D57&lt;=1,IF(E57&lt;=19,1,2),IF(D57&lt;=3,IF(E57&lt;=5,1,IF(E57&lt;=19,2,3)),IF(E57&lt;=5,2,3)))),"Низкая","Средняя","Высокая")</f>
        <v>Низкая</v>
      </c>
      <c r="G57" s="3" t="n">
        <f aca="false">IF(C57="EI",CHOOSE(IF(C57="EI",IF(D57&lt;=1,IF(E57&lt;=15,1,2),IF(D57=2,IF(E57&lt;=4,1,IF(E57&lt;=15,2,3)),IF(E57&lt;=4,2,3))),IF(D57&lt;=1,IF(E57&lt;=19,1,2),IF(D57&lt;=3,IF(E57&lt;=5,1,IF(E57&lt;=19,2,3)),IF(E57&lt;=5,2,3)))),3,4,6),IF(C57="EO",CHOOSE(IF(C57="EI",IF(D57&lt;=1,IF(E57&lt;=15,1,2),IF(D57=2,IF(E57&lt;=4,1,IF(E57&lt;=15,2,3)),IF(E57&lt;=4,2,3))),IF(D57&lt;=1,IF(E57&lt;=19,1,2),IF(D57&lt;=3,IF(E57&lt;=5,1,IF(E57&lt;=19,2,3)),IF(E57&lt;=5,2,3)))),4,5,7),CHOOSE(IF(C57="EI",IF(D57&lt;=1,IF(E57&lt;=15,1,2),IF(D57=2,IF(E57&lt;=4,1,IF(E57&lt;=15,2,3)),IF(E57&lt;=4,2,3))),IF(D57&lt;=1,IF(E57&lt;=19,1,2),IF(D57&lt;=3,IF(E57&lt;=5,1,IF(E57&lt;=19,2,3)),IF(E57&lt;=5,2,3)))),3,4,6)))</f>
        <v>3</v>
      </c>
      <c r="H57" s="3" t="s">
        <v>478</v>
      </c>
      <c r="I57" s="3" t="s">
        <v>128</v>
      </c>
    </row>
    <row r="58" customFormat="false" ht="15" hidden="false" customHeight="false" outlineLevel="0" collapsed="false">
      <c r="A58" s="2" t="s">
        <v>479</v>
      </c>
      <c r="B58" s="2" t="s">
        <v>480</v>
      </c>
      <c r="C58" s="2" t="s">
        <v>349</v>
      </c>
      <c r="D58" s="2" t="n">
        <v>2</v>
      </c>
      <c r="E58" s="2" t="n">
        <v>10</v>
      </c>
      <c r="F58" s="2" t="str">
        <f aca="false">CHOOSE(IF(C58="EI",IF(D58&lt;=1,IF(E58&lt;=15,1,2),IF(D58=2,IF(E58&lt;=4,1,IF(E58&lt;=15,2,3)),IF(E58&lt;=4,2,3))),IF(D58&lt;=1,IF(E58&lt;=19,1,2),IF(D58&lt;=3,IF(E58&lt;=5,1,IF(E58&lt;=19,2,3)),IF(E58&lt;=5,2,3)))),"Низкая","Средняя","Высокая")</f>
        <v>Средняя</v>
      </c>
      <c r="G58" s="2" t="n">
        <f aca="false">IF(C58="EI",CHOOSE(IF(C58="EI",IF(D58&lt;=1,IF(E58&lt;=15,1,2),IF(D58=2,IF(E58&lt;=4,1,IF(E58&lt;=15,2,3)),IF(E58&lt;=4,2,3))),IF(D58&lt;=1,IF(E58&lt;=19,1,2),IF(D58&lt;=3,IF(E58&lt;=5,1,IF(E58&lt;=19,2,3)),IF(E58&lt;=5,2,3)))),3,4,6),IF(C58="EO",CHOOSE(IF(C58="EI",IF(D58&lt;=1,IF(E58&lt;=15,1,2),IF(D58=2,IF(E58&lt;=4,1,IF(E58&lt;=15,2,3)),IF(E58&lt;=4,2,3))),IF(D58&lt;=1,IF(E58&lt;=19,1,2),IF(D58&lt;=3,IF(E58&lt;=5,1,IF(E58&lt;=19,2,3)),IF(E58&lt;=5,2,3)))),4,5,7),CHOOSE(IF(C58="EI",IF(D58&lt;=1,IF(E58&lt;=15,1,2),IF(D58=2,IF(E58&lt;=4,1,IF(E58&lt;=15,2,3)),IF(E58&lt;=4,2,3))),IF(D58&lt;=1,IF(E58&lt;=19,1,2),IF(D58&lt;=3,IF(E58&lt;=5,1,IF(E58&lt;=19,2,3)),IF(E58&lt;=5,2,3)))),3,4,6)))</f>
        <v>4</v>
      </c>
      <c r="H58" s="2" t="s">
        <v>478</v>
      </c>
      <c r="I58" s="2" t="s">
        <v>128</v>
      </c>
    </row>
    <row r="59" customFormat="false" ht="15" hidden="false" customHeight="false" outlineLevel="0" collapsed="false">
      <c r="A59" s="3" t="s">
        <v>481</v>
      </c>
      <c r="B59" s="3" t="s">
        <v>482</v>
      </c>
      <c r="C59" s="3" t="s">
        <v>334</v>
      </c>
      <c r="D59" s="3" t="n">
        <v>1</v>
      </c>
      <c r="E59" s="3" t="n">
        <v>5</v>
      </c>
      <c r="F59" s="3" t="str">
        <f aca="false">CHOOSE(IF(C59="EI",IF(D59&lt;=1,IF(E59&lt;=15,1,2),IF(D59=2,IF(E59&lt;=4,1,IF(E59&lt;=15,2,3)),IF(E59&lt;=4,2,3))),IF(D59&lt;=1,IF(E59&lt;=19,1,2),IF(D59&lt;=3,IF(E59&lt;=5,1,IF(E59&lt;=19,2,3)),IF(E59&lt;=5,2,3)))),"Низкая","Средняя","Высокая")</f>
        <v>Низкая</v>
      </c>
      <c r="G59" s="3" t="n">
        <f aca="false">IF(C59="EI",CHOOSE(IF(C59="EI",IF(D59&lt;=1,IF(E59&lt;=15,1,2),IF(D59=2,IF(E59&lt;=4,1,IF(E59&lt;=15,2,3)),IF(E59&lt;=4,2,3))),IF(D59&lt;=1,IF(E59&lt;=19,1,2),IF(D59&lt;=3,IF(E59&lt;=5,1,IF(E59&lt;=19,2,3)),IF(E59&lt;=5,2,3)))),3,4,6),IF(C59="EO",CHOOSE(IF(C59="EI",IF(D59&lt;=1,IF(E59&lt;=15,1,2),IF(D59=2,IF(E59&lt;=4,1,IF(E59&lt;=15,2,3)),IF(E59&lt;=4,2,3))),IF(D59&lt;=1,IF(E59&lt;=19,1,2),IF(D59&lt;=3,IF(E59&lt;=5,1,IF(E59&lt;=19,2,3)),IF(E59&lt;=5,2,3)))),4,5,7),CHOOSE(IF(C59="EI",IF(D59&lt;=1,IF(E59&lt;=15,1,2),IF(D59=2,IF(E59&lt;=4,1,IF(E59&lt;=15,2,3)),IF(E59&lt;=4,2,3))),IF(D59&lt;=1,IF(E59&lt;=19,1,2),IF(D59&lt;=3,IF(E59&lt;=5,1,IF(E59&lt;=19,2,3)),IF(E59&lt;=5,2,3)))),3,4,6)))</f>
        <v>3</v>
      </c>
      <c r="H59" s="3" t="s">
        <v>323</v>
      </c>
      <c r="I59" s="3" t="s">
        <v>133</v>
      </c>
    </row>
    <row r="60" customFormat="false" ht="15" hidden="false" customHeight="false" outlineLevel="0" collapsed="false">
      <c r="A60" s="2" t="s">
        <v>483</v>
      </c>
      <c r="B60" s="2" t="s">
        <v>484</v>
      </c>
      <c r="C60" s="2" t="s">
        <v>334</v>
      </c>
      <c r="D60" s="2" t="n">
        <v>1</v>
      </c>
      <c r="E60" s="2" t="n">
        <v>5</v>
      </c>
      <c r="F60" s="2" t="str">
        <f aca="false">CHOOSE(IF(C60="EI",IF(D60&lt;=1,IF(E60&lt;=15,1,2),IF(D60=2,IF(E60&lt;=4,1,IF(E60&lt;=15,2,3)),IF(E60&lt;=4,2,3))),IF(D60&lt;=1,IF(E60&lt;=19,1,2),IF(D60&lt;=3,IF(E60&lt;=5,1,IF(E60&lt;=19,2,3)),IF(E60&lt;=5,2,3)))),"Низкая","Средняя","Высокая")</f>
        <v>Низкая</v>
      </c>
      <c r="G60" s="2" t="n">
        <f aca="false">IF(C60="EI",CHOOSE(IF(C60="EI",IF(D60&lt;=1,IF(E60&lt;=15,1,2),IF(D60=2,IF(E60&lt;=4,1,IF(E60&lt;=15,2,3)),IF(E60&lt;=4,2,3))),IF(D60&lt;=1,IF(E60&lt;=19,1,2),IF(D60&lt;=3,IF(E60&lt;=5,1,IF(E60&lt;=19,2,3)),IF(E60&lt;=5,2,3)))),3,4,6),IF(C60="EO",CHOOSE(IF(C60="EI",IF(D60&lt;=1,IF(E60&lt;=15,1,2),IF(D60=2,IF(E60&lt;=4,1,IF(E60&lt;=15,2,3)),IF(E60&lt;=4,2,3))),IF(D60&lt;=1,IF(E60&lt;=19,1,2),IF(D60&lt;=3,IF(E60&lt;=5,1,IF(E60&lt;=19,2,3)),IF(E60&lt;=5,2,3)))),4,5,7),CHOOSE(IF(C60="EI",IF(D60&lt;=1,IF(E60&lt;=15,1,2),IF(D60=2,IF(E60&lt;=4,1,IF(E60&lt;=15,2,3)),IF(E60&lt;=4,2,3))),IF(D60&lt;=1,IF(E60&lt;=19,1,2),IF(D60&lt;=3,IF(E60&lt;=5,1,IF(E60&lt;=19,2,3)),IF(E60&lt;=5,2,3)))),3,4,6)))</f>
        <v>3</v>
      </c>
      <c r="H60" s="2" t="s">
        <v>323</v>
      </c>
      <c r="I60" s="2" t="s">
        <v>133</v>
      </c>
    </row>
    <row r="61" customFormat="false" ht="15" hidden="false" customHeight="false" outlineLevel="0" collapsed="false">
      <c r="A61" s="3" t="s">
        <v>485</v>
      </c>
      <c r="B61" s="3" t="s">
        <v>486</v>
      </c>
      <c r="C61" s="3" t="s">
        <v>334</v>
      </c>
      <c r="D61" s="3" t="n">
        <v>2</v>
      </c>
      <c r="E61" s="3" t="n">
        <v>2</v>
      </c>
      <c r="F61" s="3" t="str">
        <f aca="false">CHOOSE(IF(C61="EI",IF(D61&lt;=1,IF(E61&lt;=15,1,2),IF(D61=2,IF(E61&lt;=4,1,IF(E61&lt;=15,2,3)),IF(E61&lt;=4,2,3))),IF(D61&lt;=1,IF(E61&lt;=19,1,2),IF(D61&lt;=3,IF(E61&lt;=5,1,IF(E61&lt;=19,2,3)),IF(E61&lt;=5,2,3)))),"Низкая","Средняя","Высокая")</f>
        <v>Низкая</v>
      </c>
      <c r="G61" s="3" t="n">
        <f aca="false">IF(C61="EI",CHOOSE(IF(C61="EI",IF(D61&lt;=1,IF(E61&lt;=15,1,2),IF(D61=2,IF(E61&lt;=4,1,IF(E61&lt;=15,2,3)),IF(E61&lt;=4,2,3))),IF(D61&lt;=1,IF(E61&lt;=19,1,2),IF(D61&lt;=3,IF(E61&lt;=5,1,IF(E61&lt;=19,2,3)),IF(E61&lt;=5,2,3)))),3,4,6),IF(C61="EO",CHOOSE(IF(C61="EI",IF(D61&lt;=1,IF(E61&lt;=15,1,2),IF(D61=2,IF(E61&lt;=4,1,IF(E61&lt;=15,2,3)),IF(E61&lt;=4,2,3))),IF(D61&lt;=1,IF(E61&lt;=19,1,2),IF(D61&lt;=3,IF(E61&lt;=5,1,IF(E61&lt;=19,2,3)),IF(E61&lt;=5,2,3)))),4,5,7),CHOOSE(IF(C61="EI",IF(D61&lt;=1,IF(E61&lt;=15,1,2),IF(D61=2,IF(E61&lt;=4,1,IF(E61&lt;=15,2,3)),IF(E61&lt;=4,2,3))),IF(D61&lt;=1,IF(E61&lt;=19,1,2),IF(D61&lt;=3,IF(E61&lt;=5,1,IF(E61&lt;=19,2,3)),IF(E61&lt;=5,2,3)))),3,4,6)))</f>
        <v>3</v>
      </c>
      <c r="H61" s="3" t="s">
        <v>352</v>
      </c>
      <c r="I61" s="3" t="s">
        <v>133</v>
      </c>
    </row>
  </sheetData>
  <autoFilter ref="A1:I61"/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8"/>
  </cols>
  <sheetData>
    <row r="1" customFormat="false" ht="15" hidden="false" customHeight="false" outlineLevel="0" collapsed="false">
      <c r="A1" s="1" t="s">
        <v>487</v>
      </c>
      <c r="B1" s="1" t="s">
        <v>488</v>
      </c>
    </row>
    <row r="2" customFormat="false" ht="15" hidden="false" customHeight="false" outlineLevel="0" collapsed="false">
      <c r="A2" s="2" t="s">
        <v>489</v>
      </c>
      <c r="B2" s="2" t="n">
        <v>4</v>
      </c>
    </row>
    <row r="3" customFormat="false" ht="15" hidden="false" customHeight="false" outlineLevel="0" collapsed="false">
      <c r="A3" s="3" t="s">
        <v>490</v>
      </c>
      <c r="B3" s="3" t="n">
        <v>3</v>
      </c>
    </row>
    <row r="4" customFormat="false" ht="15" hidden="false" customHeight="false" outlineLevel="0" collapsed="false">
      <c r="A4" s="2" t="s">
        <v>491</v>
      </c>
      <c r="B4" s="2" t="n">
        <v>3</v>
      </c>
    </row>
    <row r="5" customFormat="false" ht="15" hidden="false" customHeight="false" outlineLevel="0" collapsed="false">
      <c r="A5" s="3" t="s">
        <v>492</v>
      </c>
      <c r="B5" s="3" t="n">
        <v>1</v>
      </c>
    </row>
    <row r="6" customFormat="false" ht="15" hidden="false" customHeight="false" outlineLevel="0" collapsed="false">
      <c r="A6" s="2" t="s">
        <v>493</v>
      </c>
      <c r="B6" s="2" t="n">
        <v>3</v>
      </c>
    </row>
    <row r="7" customFormat="false" ht="15" hidden="false" customHeight="false" outlineLevel="0" collapsed="false">
      <c r="A7" s="3" t="s">
        <v>494</v>
      </c>
      <c r="B7" s="3" t="n">
        <v>5</v>
      </c>
    </row>
    <row r="8" customFormat="false" ht="15" hidden="false" customHeight="false" outlineLevel="0" collapsed="false">
      <c r="A8" s="2" t="s">
        <v>495</v>
      </c>
      <c r="B8" s="2" t="n">
        <v>4</v>
      </c>
    </row>
    <row r="9" customFormat="false" ht="15" hidden="false" customHeight="false" outlineLevel="0" collapsed="false">
      <c r="A9" s="3" t="s">
        <v>496</v>
      </c>
      <c r="B9" s="3" t="n">
        <v>4</v>
      </c>
    </row>
    <row r="10" customFormat="false" ht="15" hidden="false" customHeight="false" outlineLevel="0" collapsed="false">
      <c r="A10" s="2" t="s">
        <v>497</v>
      </c>
      <c r="B10" s="2" t="n">
        <v>3</v>
      </c>
    </row>
    <row r="11" customFormat="false" ht="15" hidden="false" customHeight="false" outlineLevel="0" collapsed="false">
      <c r="A11" s="3" t="s">
        <v>498</v>
      </c>
      <c r="B11" s="3" t="n">
        <v>2</v>
      </c>
    </row>
    <row r="12" customFormat="false" ht="15" hidden="false" customHeight="false" outlineLevel="0" collapsed="false">
      <c r="A12" s="2" t="s">
        <v>499</v>
      </c>
      <c r="B12" s="2" t="n">
        <v>2</v>
      </c>
    </row>
    <row r="13" customFormat="false" ht="15" hidden="false" customHeight="false" outlineLevel="0" collapsed="false">
      <c r="A13" s="3" t="s">
        <v>500</v>
      </c>
      <c r="B13" s="3" t="n">
        <v>3</v>
      </c>
    </row>
    <row r="14" customFormat="false" ht="15" hidden="false" customHeight="false" outlineLevel="0" collapsed="false">
      <c r="A14" s="2" t="s">
        <v>501</v>
      </c>
      <c r="B14" s="2" t="n">
        <v>1</v>
      </c>
    </row>
    <row r="15" customFormat="false" ht="15" hidden="false" customHeight="false" outlineLevel="0" collapsed="false">
      <c r="A15" s="3" t="s">
        <v>502</v>
      </c>
      <c r="B15" s="3" t="n">
        <v>4</v>
      </c>
    </row>
  </sheetData>
  <autoFilter ref="A1:B15"/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100"/>
  </cols>
  <sheetData>
    <row r="1" customFormat="false" ht="15" hidden="false" customHeight="false" outlineLevel="0" collapsed="false">
      <c r="A1" s="1" t="s">
        <v>503</v>
      </c>
      <c r="B1" s="1" t="s">
        <v>1</v>
      </c>
      <c r="C1" s="1" t="s">
        <v>504</v>
      </c>
      <c r="D1" s="1" t="s">
        <v>505</v>
      </c>
    </row>
    <row r="2" customFormat="false" ht="15" hidden="false" customHeight="false" outlineLevel="0" collapsed="false">
      <c r="A2" s="2" t="s">
        <v>506</v>
      </c>
      <c r="B2" s="4" t="n">
        <v>3.72</v>
      </c>
      <c r="C2" s="2" t="s">
        <v>507</v>
      </c>
      <c r="D2" s="2" t="s">
        <v>508</v>
      </c>
    </row>
    <row r="3" customFormat="false" ht="15" hidden="false" customHeight="false" outlineLevel="0" collapsed="false">
      <c r="A3" s="3" t="s">
        <v>509</v>
      </c>
      <c r="B3" s="5" t="n">
        <v>3.04</v>
      </c>
      <c r="C3" s="3" t="s">
        <v>507</v>
      </c>
      <c r="D3" s="3" t="s">
        <v>510</v>
      </c>
    </row>
    <row r="4" customFormat="false" ht="15" hidden="false" customHeight="false" outlineLevel="0" collapsed="false">
      <c r="A4" s="2" t="s">
        <v>511</v>
      </c>
      <c r="B4" s="4" t="n">
        <v>4.24</v>
      </c>
      <c r="C4" s="2" t="s">
        <v>507</v>
      </c>
      <c r="D4" s="2" t="s">
        <v>512</v>
      </c>
    </row>
    <row r="5" customFormat="false" ht="15" hidden="false" customHeight="false" outlineLevel="0" collapsed="false">
      <c r="A5" s="3" t="s">
        <v>513</v>
      </c>
      <c r="B5" s="5" t="n">
        <v>3.29</v>
      </c>
      <c r="C5" s="3" t="s">
        <v>507</v>
      </c>
      <c r="D5" s="3" t="s">
        <v>514</v>
      </c>
    </row>
    <row r="6" customFormat="false" ht="15" hidden="false" customHeight="false" outlineLevel="0" collapsed="false">
      <c r="A6" s="2" t="s">
        <v>515</v>
      </c>
      <c r="B6" s="4" t="n">
        <v>4.68</v>
      </c>
      <c r="C6" s="2" t="s">
        <v>507</v>
      </c>
      <c r="D6" s="2" t="s">
        <v>516</v>
      </c>
    </row>
    <row r="7" customFormat="false" ht="15" hidden="false" customHeight="false" outlineLevel="0" collapsed="false">
      <c r="A7" s="3" t="s">
        <v>517</v>
      </c>
      <c r="B7" s="5" t="n">
        <v>1</v>
      </c>
      <c r="C7" s="3" t="s">
        <v>507</v>
      </c>
      <c r="D7" s="3" t="s">
        <v>518</v>
      </c>
    </row>
    <row r="8" customFormat="false" ht="15" hidden="false" customHeight="false" outlineLevel="0" collapsed="false">
      <c r="A8" s="2" t="s">
        <v>519</v>
      </c>
      <c r="B8" s="4" t="n">
        <v>1.33</v>
      </c>
      <c r="C8" s="2" t="s">
        <v>520</v>
      </c>
      <c r="D8" s="2" t="s">
        <v>521</v>
      </c>
    </row>
    <row r="9" customFormat="false" ht="15" hidden="false" customHeight="false" outlineLevel="0" collapsed="false">
      <c r="A9" s="3" t="s">
        <v>522</v>
      </c>
      <c r="B9" s="5" t="n">
        <v>1</v>
      </c>
      <c r="C9" s="3" t="s">
        <v>507</v>
      </c>
      <c r="D9" s="3" t="s">
        <v>523</v>
      </c>
    </row>
    <row r="10" customFormat="false" ht="15" hidden="false" customHeight="false" outlineLevel="0" collapsed="false">
      <c r="A10" s="2" t="s">
        <v>524</v>
      </c>
      <c r="B10" s="4" t="n">
        <v>1</v>
      </c>
      <c r="C10" s="2" t="s">
        <v>507</v>
      </c>
      <c r="D10" s="2" t="s">
        <v>525</v>
      </c>
    </row>
    <row r="11" customFormat="false" ht="15" hidden="false" customHeight="false" outlineLevel="0" collapsed="false">
      <c r="A11" s="3" t="s">
        <v>526</v>
      </c>
      <c r="B11" s="5" t="n">
        <v>0.87</v>
      </c>
      <c r="C11" s="3" t="s">
        <v>520</v>
      </c>
      <c r="D11" s="3" t="s">
        <v>527</v>
      </c>
    </row>
    <row r="12" customFormat="false" ht="15" hidden="false" customHeight="false" outlineLevel="0" collapsed="false">
      <c r="A12" s="2" t="s">
        <v>528</v>
      </c>
      <c r="B12" s="4" t="n">
        <v>1</v>
      </c>
      <c r="C12" s="2" t="s">
        <v>507</v>
      </c>
      <c r="D12" s="2" t="s">
        <v>529</v>
      </c>
    </row>
    <row r="13" customFormat="false" ht="15" hidden="false" customHeight="false" outlineLevel="0" collapsed="false">
      <c r="A13" s="3" t="s">
        <v>530</v>
      </c>
      <c r="B13" s="5" t="n">
        <v>1</v>
      </c>
      <c r="C13" s="3" t="s">
        <v>507</v>
      </c>
      <c r="D13" s="3" t="s">
        <v>531</v>
      </c>
    </row>
  </sheetData>
  <autoFilter ref="A1:D13"/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0"/>
    <col collapsed="false" customWidth="true" hidden="false" outlineLevel="0" max="3" min="3" style="0" width="42"/>
    <col collapsed="false" customWidth="true" hidden="false" outlineLevel="0" max="4" min="4" style="0" width="20"/>
    <col collapsed="false" customWidth="true" hidden="false" outlineLevel="0" max="5" min="5" style="0" width="115"/>
    <col collapsed="false" customWidth="true" hidden="false" outlineLevel="0" max="6" min="6" style="0" width="18"/>
    <col collapsed="false" customWidth="true" hidden="false" outlineLevel="0" max="7" min="7" style="0" width="12"/>
  </cols>
  <sheetData>
    <row r="1" customFormat="false" ht="15" hidden="false" customHeight="false" outlineLevel="0" collapsed="false">
      <c r="A1" s="1" t="s">
        <v>29</v>
      </c>
      <c r="B1" s="1" t="s">
        <v>532</v>
      </c>
      <c r="C1" s="1" t="s">
        <v>533</v>
      </c>
      <c r="D1" s="1" t="s">
        <v>139</v>
      </c>
      <c r="E1" s="1" t="s">
        <v>534</v>
      </c>
      <c r="F1" s="1" t="s">
        <v>535</v>
      </c>
      <c r="G1" s="1" t="s">
        <v>536</v>
      </c>
    </row>
    <row r="2" customFormat="false" ht="15" hidden="false" customHeight="false" outlineLevel="0" collapsed="false">
      <c r="A2" s="2" t="s">
        <v>537</v>
      </c>
      <c r="B2" s="2" t="s">
        <v>333</v>
      </c>
      <c r="C2" s="2" t="s">
        <v>538</v>
      </c>
      <c r="D2" s="2" t="s">
        <v>34</v>
      </c>
      <c r="E2" s="2" t="s">
        <v>539</v>
      </c>
      <c r="F2" s="2" t="n">
        <v>4</v>
      </c>
      <c r="G2" s="4" t="n">
        <f aca="false">IF(F2&lt;=3,5,IF(F2&lt;=7,10,15))</f>
        <v>10</v>
      </c>
    </row>
    <row r="3" customFormat="false" ht="15" hidden="false" customHeight="false" outlineLevel="0" collapsed="false">
      <c r="A3" s="3" t="s">
        <v>540</v>
      </c>
      <c r="B3" s="3" t="s">
        <v>541</v>
      </c>
      <c r="C3" s="3" t="s">
        <v>538</v>
      </c>
      <c r="D3" s="3" t="s">
        <v>39</v>
      </c>
      <c r="E3" s="3" t="s">
        <v>542</v>
      </c>
      <c r="F3" s="3" t="n">
        <v>3</v>
      </c>
      <c r="G3" s="5" t="n">
        <f aca="false">IF(F3&lt;=3,5,IF(F3&lt;=7,10,15))</f>
        <v>5</v>
      </c>
    </row>
    <row r="4" customFormat="false" ht="15" hidden="false" customHeight="false" outlineLevel="0" collapsed="false">
      <c r="A4" s="2" t="s">
        <v>543</v>
      </c>
      <c r="B4" s="2" t="s">
        <v>544</v>
      </c>
      <c r="C4" s="2" t="s">
        <v>538</v>
      </c>
      <c r="D4" s="2" t="s">
        <v>39</v>
      </c>
      <c r="E4" s="2" t="s">
        <v>545</v>
      </c>
      <c r="F4" s="2" t="n">
        <v>4</v>
      </c>
      <c r="G4" s="4" t="n">
        <f aca="false">IF(F4&lt;=3,5,IF(F4&lt;=7,10,15))</f>
        <v>10</v>
      </c>
    </row>
    <row r="5" customFormat="false" ht="15" hidden="false" customHeight="false" outlineLevel="0" collapsed="false">
      <c r="A5" s="3" t="s">
        <v>546</v>
      </c>
      <c r="B5" s="3" t="s">
        <v>547</v>
      </c>
      <c r="C5" s="3" t="s">
        <v>548</v>
      </c>
      <c r="D5" s="3" t="s">
        <v>43</v>
      </c>
      <c r="E5" s="3" t="s">
        <v>549</v>
      </c>
      <c r="F5" s="3" t="n">
        <v>3</v>
      </c>
      <c r="G5" s="5" t="n">
        <f aca="false">IF(F5&lt;=3,5,IF(F5&lt;=7,10,15))</f>
        <v>5</v>
      </c>
    </row>
    <row r="6" customFormat="false" ht="15" hidden="false" customHeight="false" outlineLevel="0" collapsed="false">
      <c r="A6" s="2" t="s">
        <v>550</v>
      </c>
      <c r="B6" s="2" t="s">
        <v>551</v>
      </c>
      <c r="C6" s="2" t="s">
        <v>538</v>
      </c>
      <c r="D6" s="2" t="s">
        <v>47</v>
      </c>
      <c r="E6" s="2" t="s">
        <v>552</v>
      </c>
      <c r="F6" s="2" t="n">
        <v>3</v>
      </c>
      <c r="G6" s="4" t="n">
        <f aca="false">IF(F6&lt;=3,5,IF(F6&lt;=7,10,15))</f>
        <v>5</v>
      </c>
    </row>
    <row r="7" customFormat="false" ht="15" hidden="false" customHeight="false" outlineLevel="0" collapsed="false">
      <c r="A7" s="3" t="s">
        <v>553</v>
      </c>
      <c r="B7" s="3" t="s">
        <v>554</v>
      </c>
      <c r="C7" s="3" t="s">
        <v>538</v>
      </c>
      <c r="D7" s="3" t="s">
        <v>52</v>
      </c>
      <c r="E7" s="3" t="s">
        <v>555</v>
      </c>
      <c r="F7" s="3" t="n">
        <v>3</v>
      </c>
      <c r="G7" s="5" t="n">
        <f aca="false">IF(F7&lt;=3,5,IF(F7&lt;=7,10,15))</f>
        <v>5</v>
      </c>
    </row>
    <row r="8" customFormat="false" ht="15" hidden="false" customHeight="false" outlineLevel="0" collapsed="false">
      <c r="A8" s="2" t="s">
        <v>556</v>
      </c>
      <c r="B8" s="2" t="s">
        <v>557</v>
      </c>
      <c r="C8" s="2" t="s">
        <v>548</v>
      </c>
      <c r="D8" s="2" t="s">
        <v>56</v>
      </c>
      <c r="E8" s="2" t="s">
        <v>558</v>
      </c>
      <c r="F8" s="2" t="n">
        <v>4</v>
      </c>
      <c r="G8" s="4" t="n">
        <f aca="false">IF(F8&lt;=3,5,IF(F8&lt;=7,10,15))</f>
        <v>10</v>
      </c>
    </row>
    <row r="9" customFormat="false" ht="15" hidden="false" customHeight="false" outlineLevel="0" collapsed="false">
      <c r="A9" s="3" t="s">
        <v>559</v>
      </c>
      <c r="B9" s="3" t="s">
        <v>560</v>
      </c>
      <c r="C9" s="3" t="s">
        <v>548</v>
      </c>
      <c r="D9" s="3" t="s">
        <v>61</v>
      </c>
      <c r="E9" s="3" t="s">
        <v>561</v>
      </c>
      <c r="F9" s="3" t="n">
        <v>4</v>
      </c>
      <c r="G9" s="5" t="n">
        <f aca="false">IF(F9&lt;=3,5,IF(F9&lt;=7,10,15))</f>
        <v>10</v>
      </c>
    </row>
    <row r="10" customFormat="false" ht="23.85" hidden="false" customHeight="false" outlineLevel="0" collapsed="false">
      <c r="A10" s="2" t="s">
        <v>562</v>
      </c>
      <c r="B10" s="2" t="s">
        <v>563</v>
      </c>
      <c r="C10" s="2" t="s">
        <v>548</v>
      </c>
      <c r="D10" s="2" t="s">
        <v>65</v>
      </c>
      <c r="E10" s="2" t="s">
        <v>564</v>
      </c>
      <c r="F10" s="2" t="n">
        <v>6</v>
      </c>
      <c r="G10" s="4" t="n">
        <f aca="false">IF(F10&lt;=3,5,IF(F10&lt;=7,10,15))</f>
        <v>10</v>
      </c>
    </row>
    <row r="11" customFormat="false" ht="23.85" hidden="false" customHeight="false" outlineLevel="0" collapsed="false">
      <c r="A11" s="3" t="s">
        <v>565</v>
      </c>
      <c r="B11" s="3" t="s">
        <v>566</v>
      </c>
      <c r="C11" s="3" t="s">
        <v>567</v>
      </c>
      <c r="D11" s="3" t="s">
        <v>69</v>
      </c>
      <c r="E11" s="3" t="s">
        <v>568</v>
      </c>
      <c r="F11" s="3" t="n">
        <v>8</v>
      </c>
      <c r="G11" s="5" t="n">
        <f aca="false">IF(F11&lt;=3,5,IF(F11&lt;=7,10,15))</f>
        <v>15</v>
      </c>
    </row>
    <row r="12" customFormat="false" ht="15" hidden="false" customHeight="false" outlineLevel="0" collapsed="false">
      <c r="A12" s="2" t="s">
        <v>569</v>
      </c>
      <c r="B12" s="2" t="s">
        <v>570</v>
      </c>
      <c r="C12" s="2" t="s">
        <v>548</v>
      </c>
      <c r="D12" s="2" t="s">
        <v>73</v>
      </c>
      <c r="E12" s="2" t="s">
        <v>571</v>
      </c>
      <c r="F12" s="2" t="n">
        <v>3</v>
      </c>
      <c r="G12" s="4" t="n">
        <f aca="false">IF(F12&lt;=3,5,IF(F12&lt;=7,10,15))</f>
        <v>5</v>
      </c>
    </row>
    <row r="13" customFormat="false" ht="23.85" hidden="false" customHeight="false" outlineLevel="0" collapsed="false">
      <c r="A13" s="3" t="s">
        <v>572</v>
      </c>
      <c r="B13" s="3" t="s">
        <v>573</v>
      </c>
      <c r="C13" s="3" t="s">
        <v>574</v>
      </c>
      <c r="D13" s="3" t="s">
        <v>77</v>
      </c>
      <c r="E13" s="3" t="s">
        <v>575</v>
      </c>
      <c r="F13" s="3" t="n">
        <v>5</v>
      </c>
      <c r="G13" s="5" t="n">
        <f aca="false">IF(F13&lt;=3,5,IF(F13&lt;=7,10,15))</f>
        <v>10</v>
      </c>
    </row>
    <row r="14" customFormat="false" ht="23.85" hidden="false" customHeight="false" outlineLevel="0" collapsed="false">
      <c r="A14" s="2" t="s">
        <v>576</v>
      </c>
      <c r="B14" s="2" t="s">
        <v>577</v>
      </c>
      <c r="C14" s="2" t="s">
        <v>578</v>
      </c>
      <c r="D14" s="2" t="s">
        <v>81</v>
      </c>
      <c r="E14" s="2" t="s">
        <v>579</v>
      </c>
      <c r="F14" s="2" t="n">
        <v>5</v>
      </c>
      <c r="G14" s="4" t="n">
        <f aca="false">IF(F14&lt;=3,5,IF(F14&lt;=7,10,15))</f>
        <v>10</v>
      </c>
    </row>
    <row r="15" customFormat="false" ht="23.85" hidden="false" customHeight="false" outlineLevel="0" collapsed="false">
      <c r="A15" s="3" t="s">
        <v>580</v>
      </c>
      <c r="B15" s="3" t="s">
        <v>581</v>
      </c>
      <c r="C15" s="3" t="s">
        <v>548</v>
      </c>
      <c r="D15" s="3" t="s">
        <v>86</v>
      </c>
      <c r="E15" s="3" t="s">
        <v>582</v>
      </c>
      <c r="F15" s="3" t="n">
        <v>5</v>
      </c>
      <c r="G15" s="5" t="n">
        <f aca="false">IF(F15&lt;=3,5,IF(F15&lt;=7,10,15))</f>
        <v>10</v>
      </c>
    </row>
    <row r="16" customFormat="false" ht="23.85" hidden="false" customHeight="false" outlineLevel="0" collapsed="false">
      <c r="A16" s="2" t="s">
        <v>583</v>
      </c>
      <c r="B16" s="2" t="s">
        <v>91</v>
      </c>
      <c r="C16" s="2" t="s">
        <v>584</v>
      </c>
      <c r="D16" s="2" t="s">
        <v>90</v>
      </c>
      <c r="E16" s="2" t="s">
        <v>585</v>
      </c>
      <c r="F16" s="2" t="n">
        <v>7</v>
      </c>
      <c r="G16" s="4" t="n">
        <f aca="false">IF(F16&lt;=3,5,IF(F16&lt;=7,10,15))</f>
        <v>10</v>
      </c>
    </row>
    <row r="17" customFormat="false" ht="23.85" hidden="false" customHeight="false" outlineLevel="0" collapsed="false">
      <c r="A17" s="3" t="s">
        <v>586</v>
      </c>
      <c r="B17" s="3" t="s">
        <v>587</v>
      </c>
      <c r="C17" s="3" t="s">
        <v>588</v>
      </c>
      <c r="D17" s="3" t="s">
        <v>94</v>
      </c>
      <c r="E17" s="3" t="s">
        <v>589</v>
      </c>
      <c r="F17" s="3" t="n">
        <v>7</v>
      </c>
      <c r="G17" s="5" t="n">
        <f aca="false">IF(F17&lt;=3,5,IF(F17&lt;=7,10,15))</f>
        <v>10</v>
      </c>
    </row>
    <row r="18" customFormat="false" ht="23.85" hidden="false" customHeight="false" outlineLevel="0" collapsed="false">
      <c r="A18" s="2" t="s">
        <v>590</v>
      </c>
      <c r="B18" s="2" t="s">
        <v>591</v>
      </c>
      <c r="C18" s="2" t="s">
        <v>592</v>
      </c>
      <c r="D18" s="2" t="s">
        <v>99</v>
      </c>
      <c r="E18" s="2" t="s">
        <v>593</v>
      </c>
      <c r="F18" s="2" t="n">
        <v>7</v>
      </c>
      <c r="G18" s="4" t="n">
        <f aca="false">IF(F18&lt;=3,5,IF(F18&lt;=7,10,15))</f>
        <v>10</v>
      </c>
    </row>
    <row r="19" customFormat="false" ht="23.85" hidden="false" customHeight="false" outlineLevel="0" collapsed="false">
      <c r="A19" s="3" t="s">
        <v>594</v>
      </c>
      <c r="B19" s="3" t="s">
        <v>595</v>
      </c>
      <c r="C19" s="3" t="s">
        <v>596</v>
      </c>
      <c r="D19" s="3" t="s">
        <v>103</v>
      </c>
      <c r="E19" s="3" t="s">
        <v>597</v>
      </c>
      <c r="F19" s="3" t="n">
        <v>8</v>
      </c>
      <c r="G19" s="5" t="n">
        <f aca="false">IF(F19&lt;=3,5,IF(F19&lt;=7,10,15))</f>
        <v>15</v>
      </c>
    </row>
    <row r="20" customFormat="false" ht="23.85" hidden="false" customHeight="false" outlineLevel="0" collapsed="false">
      <c r="A20" s="2" t="s">
        <v>598</v>
      </c>
      <c r="B20" s="2" t="s">
        <v>599</v>
      </c>
      <c r="C20" s="2" t="s">
        <v>578</v>
      </c>
      <c r="D20" s="2" t="s">
        <v>107</v>
      </c>
      <c r="E20" s="2" t="s">
        <v>600</v>
      </c>
      <c r="F20" s="2" t="n">
        <v>7</v>
      </c>
      <c r="G20" s="4" t="n">
        <f aca="false">IF(F20&lt;=3,5,IF(F20&lt;=7,10,15))</f>
        <v>10</v>
      </c>
    </row>
    <row r="21" customFormat="false" ht="23.85" hidden="false" customHeight="false" outlineLevel="0" collapsed="false">
      <c r="A21" s="3" t="s">
        <v>601</v>
      </c>
      <c r="B21" s="3" t="s">
        <v>602</v>
      </c>
      <c r="C21" s="3" t="s">
        <v>588</v>
      </c>
      <c r="D21" s="3" t="s">
        <v>111</v>
      </c>
      <c r="E21" s="3" t="s">
        <v>603</v>
      </c>
      <c r="F21" s="3" t="n">
        <v>5</v>
      </c>
      <c r="G21" s="5" t="n">
        <f aca="false">IF(F21&lt;=3,5,IF(F21&lt;=7,10,15))</f>
        <v>10</v>
      </c>
    </row>
    <row r="22" customFormat="false" ht="15" hidden="false" customHeight="false" outlineLevel="0" collapsed="false">
      <c r="A22" s="2" t="s">
        <v>604</v>
      </c>
      <c r="B22" s="2" t="s">
        <v>605</v>
      </c>
      <c r="C22" s="2" t="s">
        <v>588</v>
      </c>
      <c r="D22" s="2" t="s">
        <v>115</v>
      </c>
      <c r="E22" s="2" t="s">
        <v>606</v>
      </c>
      <c r="F22" s="2" t="n">
        <v>5</v>
      </c>
      <c r="G22" s="4" t="n">
        <f aca="false">IF(F22&lt;=3,5,IF(F22&lt;=7,10,15))</f>
        <v>10</v>
      </c>
    </row>
    <row r="23" customFormat="false" ht="35.05" hidden="false" customHeight="false" outlineLevel="0" collapsed="false">
      <c r="A23" s="3" t="s">
        <v>607</v>
      </c>
      <c r="B23" s="3" t="s">
        <v>121</v>
      </c>
      <c r="C23" s="3" t="s">
        <v>608</v>
      </c>
      <c r="D23" s="3" t="s">
        <v>119</v>
      </c>
      <c r="E23" s="3" t="s">
        <v>609</v>
      </c>
      <c r="F23" s="3" t="n">
        <v>10</v>
      </c>
      <c r="G23" s="5" t="n">
        <f aca="false">IF(F23&lt;=3,5,IF(F23&lt;=7,10,15))</f>
        <v>15</v>
      </c>
    </row>
    <row r="24" customFormat="false" ht="23.85" hidden="false" customHeight="false" outlineLevel="0" collapsed="false">
      <c r="A24" s="2" t="s">
        <v>610</v>
      </c>
      <c r="B24" s="2" t="s">
        <v>611</v>
      </c>
      <c r="C24" s="2" t="s">
        <v>588</v>
      </c>
      <c r="D24" s="2" t="s">
        <v>124</v>
      </c>
      <c r="E24" s="2" t="s">
        <v>612</v>
      </c>
      <c r="F24" s="2" t="n">
        <v>6</v>
      </c>
      <c r="G24" s="4" t="n">
        <f aca="false">IF(F24&lt;=3,5,IF(F24&lt;=7,10,15))</f>
        <v>10</v>
      </c>
    </row>
    <row r="25" customFormat="false" ht="23.85" hidden="false" customHeight="false" outlineLevel="0" collapsed="false">
      <c r="A25" s="3" t="s">
        <v>613</v>
      </c>
      <c r="B25" s="3" t="s">
        <v>614</v>
      </c>
      <c r="C25" s="3" t="s">
        <v>615</v>
      </c>
      <c r="D25" s="3" t="s">
        <v>128</v>
      </c>
      <c r="E25" s="3" t="s">
        <v>616</v>
      </c>
      <c r="F25" s="3" t="n">
        <v>7</v>
      </c>
      <c r="G25" s="5" t="n">
        <f aca="false">IF(F25&lt;=3,5,IF(F25&lt;=7,10,15))</f>
        <v>10</v>
      </c>
    </row>
    <row r="26" customFormat="false" ht="23.85" hidden="false" customHeight="false" outlineLevel="0" collapsed="false">
      <c r="A26" s="2" t="s">
        <v>617</v>
      </c>
      <c r="B26" s="2" t="s">
        <v>618</v>
      </c>
      <c r="C26" s="2" t="s">
        <v>615</v>
      </c>
      <c r="D26" s="2" t="s">
        <v>133</v>
      </c>
      <c r="E26" s="2" t="s">
        <v>619</v>
      </c>
      <c r="F26" s="2" t="n">
        <v>5</v>
      </c>
      <c r="G26" s="4" t="n">
        <f aca="false">IF(F26&lt;=3,5,IF(F26&lt;=7,10,15))</f>
        <v>10</v>
      </c>
    </row>
  </sheetData>
  <autoFilter ref="A1:G26"/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  <col collapsed="false" customWidth="true" hidden="false" outlineLevel="0" max="3" min="3" style="0" width="70"/>
  </cols>
  <sheetData>
    <row r="1" customFormat="false" ht="15" hidden="false" customHeight="false" outlineLevel="0" collapsed="false">
      <c r="A1" s="1" t="s">
        <v>620</v>
      </c>
      <c r="B1" s="1" t="s">
        <v>536</v>
      </c>
      <c r="C1" s="1" t="s">
        <v>621</v>
      </c>
    </row>
    <row r="2" customFormat="false" ht="15" hidden="false" customHeight="false" outlineLevel="0" collapsed="false">
      <c r="A2" s="2" t="s">
        <v>538</v>
      </c>
      <c r="B2" s="2" t="n">
        <v>3</v>
      </c>
      <c r="C2" s="2" t="s">
        <v>622</v>
      </c>
    </row>
    <row r="3" customFormat="false" ht="15" hidden="false" customHeight="false" outlineLevel="0" collapsed="false">
      <c r="A3" s="3" t="s">
        <v>548</v>
      </c>
      <c r="B3" s="3" t="n">
        <v>3</v>
      </c>
      <c r="C3" s="3" t="s">
        <v>622</v>
      </c>
    </row>
    <row r="4" customFormat="false" ht="15" hidden="false" customHeight="false" outlineLevel="0" collapsed="false">
      <c r="A4" s="2" t="s">
        <v>588</v>
      </c>
      <c r="B4" s="2" t="n">
        <v>3</v>
      </c>
      <c r="C4" s="2" t="s">
        <v>622</v>
      </c>
    </row>
    <row r="5" customFormat="false" ht="15" hidden="false" customHeight="false" outlineLevel="0" collapsed="false">
      <c r="A5" s="3" t="s">
        <v>615</v>
      </c>
      <c r="B5" s="3" t="n">
        <v>3</v>
      </c>
      <c r="C5" s="3" t="s">
        <v>623</v>
      </c>
    </row>
    <row r="6" customFormat="false" ht="15" hidden="false" customHeight="false" outlineLevel="0" collapsed="false">
      <c r="A6" s="2" t="s">
        <v>624</v>
      </c>
      <c r="B6" s="2" t="n">
        <v>1</v>
      </c>
      <c r="C6" s="2" t="s">
        <v>625</v>
      </c>
    </row>
    <row r="7" customFormat="false" ht="15" hidden="false" customHeight="false" outlineLevel="0" collapsed="false">
      <c r="A7" s="3" t="s">
        <v>626</v>
      </c>
      <c r="B7" s="3" t="n">
        <v>1</v>
      </c>
      <c r="C7" s="3" t="s">
        <v>625</v>
      </c>
    </row>
    <row r="8" customFormat="false" ht="15" hidden="false" customHeight="false" outlineLevel="0" collapsed="false">
      <c r="A8" s="2" t="s">
        <v>627</v>
      </c>
      <c r="B8" s="2" t="n">
        <v>1</v>
      </c>
      <c r="C8" s="2" t="s">
        <v>625</v>
      </c>
    </row>
    <row r="9" customFormat="false" ht="15" hidden="false" customHeight="false" outlineLevel="0" collapsed="false">
      <c r="A9" s="3" t="s">
        <v>628</v>
      </c>
      <c r="B9" s="3" t="n">
        <v>1</v>
      </c>
      <c r="C9" s="3" t="s">
        <v>629</v>
      </c>
    </row>
  </sheetData>
  <autoFilter ref="A1:C9"/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0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20"/>
    <col collapsed="false" customWidth="true" hidden="false" outlineLevel="0" max="6" min="6" style="0" width="70"/>
  </cols>
  <sheetData>
    <row r="1" customFormat="false" ht="15" hidden="false" customHeight="false" outlineLevel="0" collapsed="false">
      <c r="A1" s="1" t="s">
        <v>29</v>
      </c>
      <c r="B1" s="1" t="s">
        <v>503</v>
      </c>
      <c r="C1" s="1" t="s">
        <v>536</v>
      </c>
      <c r="D1" s="1" t="s">
        <v>630</v>
      </c>
      <c r="E1" s="1" t="s">
        <v>631</v>
      </c>
      <c r="F1" s="1" t="s">
        <v>505</v>
      </c>
    </row>
    <row r="2" customFormat="false" ht="15" hidden="false" customHeight="false" outlineLevel="0" collapsed="false">
      <c r="A2" s="2" t="s">
        <v>632</v>
      </c>
      <c r="B2" s="2" t="s">
        <v>633</v>
      </c>
      <c r="C2" s="2" t="n">
        <v>2</v>
      </c>
      <c r="D2" s="2" t="n">
        <v>3</v>
      </c>
      <c r="E2" s="4" t="n">
        <f aca="false">C2*D2</f>
        <v>6</v>
      </c>
      <c r="F2" s="2" t="s">
        <v>634</v>
      </c>
    </row>
    <row r="3" customFormat="false" ht="15" hidden="false" customHeight="false" outlineLevel="0" collapsed="false">
      <c r="A3" s="3" t="s">
        <v>635</v>
      </c>
      <c r="B3" s="3" t="s">
        <v>491</v>
      </c>
      <c r="C3" s="3" t="n">
        <v>1</v>
      </c>
      <c r="D3" s="3" t="n">
        <v>3</v>
      </c>
      <c r="E3" s="5" t="n">
        <f aca="false">C3*D3</f>
        <v>3</v>
      </c>
      <c r="F3" s="3" t="s">
        <v>636</v>
      </c>
    </row>
    <row r="4" customFormat="false" ht="15" hidden="false" customHeight="false" outlineLevel="0" collapsed="false">
      <c r="A4" s="2" t="s">
        <v>637</v>
      </c>
      <c r="B4" s="2" t="s">
        <v>495</v>
      </c>
      <c r="C4" s="2" t="n">
        <v>1</v>
      </c>
      <c r="D4" s="2" t="n">
        <v>4</v>
      </c>
      <c r="E4" s="4" t="n">
        <f aca="false">C4*D4</f>
        <v>4</v>
      </c>
      <c r="F4" s="2" t="s">
        <v>638</v>
      </c>
    </row>
    <row r="5" customFormat="false" ht="15" hidden="false" customHeight="false" outlineLevel="0" collapsed="false">
      <c r="A5" s="3" t="s">
        <v>639</v>
      </c>
      <c r="B5" s="3" t="s">
        <v>640</v>
      </c>
      <c r="C5" s="3" t="n">
        <v>1</v>
      </c>
      <c r="D5" s="3" t="n">
        <v>3</v>
      </c>
      <c r="E5" s="5" t="n">
        <f aca="false">C5*D5</f>
        <v>3</v>
      </c>
      <c r="F5" s="3" t="s">
        <v>641</v>
      </c>
    </row>
    <row r="6" customFormat="false" ht="15" hidden="false" customHeight="false" outlineLevel="0" collapsed="false">
      <c r="A6" s="2" t="s">
        <v>642</v>
      </c>
      <c r="B6" s="2" t="s">
        <v>498</v>
      </c>
      <c r="C6" s="2" t="n">
        <v>1</v>
      </c>
      <c r="D6" s="2" t="n">
        <v>2</v>
      </c>
      <c r="E6" s="4" t="n">
        <f aca="false">C6*D6</f>
        <v>2</v>
      </c>
      <c r="F6" s="2" t="s">
        <v>643</v>
      </c>
    </row>
    <row r="7" customFormat="false" ht="15" hidden="false" customHeight="false" outlineLevel="0" collapsed="false">
      <c r="A7" s="3" t="s">
        <v>644</v>
      </c>
      <c r="B7" s="3" t="s">
        <v>499</v>
      </c>
      <c r="C7" s="5" t="n">
        <v>0.5</v>
      </c>
      <c r="D7" s="3" t="n">
        <v>2</v>
      </c>
      <c r="E7" s="5" t="n">
        <f aca="false">C7*D7</f>
        <v>1</v>
      </c>
      <c r="F7" s="3" t="s">
        <v>645</v>
      </c>
    </row>
    <row r="8" customFormat="false" ht="15" hidden="false" customHeight="false" outlineLevel="0" collapsed="false">
      <c r="A8" s="2" t="s">
        <v>646</v>
      </c>
      <c r="B8" s="2" t="s">
        <v>647</v>
      </c>
      <c r="C8" s="4" t="n">
        <v>0.5</v>
      </c>
      <c r="D8" s="2" t="n">
        <v>4</v>
      </c>
      <c r="E8" s="4" t="n">
        <f aca="false">C8*D8</f>
        <v>2</v>
      </c>
      <c r="F8" s="2" t="s">
        <v>648</v>
      </c>
    </row>
    <row r="9" customFormat="false" ht="15" hidden="false" customHeight="false" outlineLevel="0" collapsed="false">
      <c r="A9" s="3" t="s">
        <v>649</v>
      </c>
      <c r="B9" s="3" t="s">
        <v>650</v>
      </c>
      <c r="C9" s="3" t="n">
        <v>2</v>
      </c>
      <c r="D9" s="3" t="n">
        <v>2</v>
      </c>
      <c r="E9" s="5" t="n">
        <f aca="false">C9*D9</f>
        <v>4</v>
      </c>
      <c r="F9" s="3" t="s">
        <v>651</v>
      </c>
    </row>
    <row r="10" customFormat="false" ht="15" hidden="false" customHeight="false" outlineLevel="0" collapsed="false">
      <c r="A10" s="2" t="s">
        <v>652</v>
      </c>
      <c r="B10" s="2" t="s">
        <v>653</v>
      </c>
      <c r="C10" s="2" t="n">
        <v>1</v>
      </c>
      <c r="D10" s="2" t="n">
        <v>3</v>
      </c>
      <c r="E10" s="4" t="n">
        <f aca="false">C10*D10</f>
        <v>3</v>
      </c>
      <c r="F10" s="2" t="s">
        <v>654</v>
      </c>
    </row>
    <row r="11" customFormat="false" ht="15" hidden="false" customHeight="false" outlineLevel="0" collapsed="false">
      <c r="A11" s="3" t="s">
        <v>655</v>
      </c>
      <c r="B11" s="3" t="s">
        <v>656</v>
      </c>
      <c r="C11" s="3" t="n">
        <v>1</v>
      </c>
      <c r="D11" s="3" t="n">
        <v>4</v>
      </c>
      <c r="E11" s="5" t="n">
        <f aca="false">C11*D11</f>
        <v>4</v>
      </c>
      <c r="F11" s="3" t="s">
        <v>657</v>
      </c>
    </row>
    <row r="12" customFormat="false" ht="15" hidden="false" customHeight="false" outlineLevel="0" collapsed="false">
      <c r="A12" s="2" t="s">
        <v>658</v>
      </c>
      <c r="B12" s="2" t="s">
        <v>659</v>
      </c>
      <c r="C12" s="2" t="n">
        <v>1</v>
      </c>
      <c r="D12" s="2" t="n">
        <v>4</v>
      </c>
      <c r="E12" s="4" t="n">
        <f aca="false">C12*D12</f>
        <v>4</v>
      </c>
      <c r="F12" s="2" t="s">
        <v>660</v>
      </c>
    </row>
    <row r="13" customFormat="false" ht="15" hidden="false" customHeight="false" outlineLevel="0" collapsed="false">
      <c r="A13" s="3" t="s">
        <v>661</v>
      </c>
      <c r="B13" s="3" t="s">
        <v>662</v>
      </c>
      <c r="C13" s="3" t="n">
        <v>1</v>
      </c>
      <c r="D13" s="3" t="n">
        <v>2</v>
      </c>
      <c r="E13" s="5" t="n">
        <f aca="false">C13*D13</f>
        <v>2</v>
      </c>
      <c r="F13" s="3" t="s">
        <v>663</v>
      </c>
    </row>
    <row r="14" customFormat="false" ht="15" hidden="false" customHeight="false" outlineLevel="0" collapsed="false">
      <c r="A14" s="2" t="s">
        <v>664</v>
      </c>
      <c r="B14" s="2" t="s">
        <v>665</v>
      </c>
      <c r="C14" s="2" t="n">
        <v>1</v>
      </c>
      <c r="D14" s="2" t="n">
        <v>2</v>
      </c>
      <c r="E14" s="4" t="n">
        <f aca="false">C14*D14</f>
        <v>2</v>
      </c>
      <c r="F14" s="2" t="s">
        <v>666</v>
      </c>
    </row>
    <row r="15" customFormat="false" ht="15" hidden="false" customHeight="false" outlineLevel="0" collapsed="false">
      <c r="A15" s="3" t="s">
        <v>667</v>
      </c>
      <c r="B15" s="3" t="s">
        <v>668</v>
      </c>
      <c r="C15" s="5" t="n">
        <v>1.5</v>
      </c>
      <c r="D15" s="3" t="n">
        <v>3</v>
      </c>
      <c r="E15" s="5" t="n">
        <f aca="false">C15*D15</f>
        <v>4.5</v>
      </c>
      <c r="F15" s="3" t="s">
        <v>669</v>
      </c>
    </row>
    <row r="16" customFormat="false" ht="15" hidden="false" customHeight="false" outlineLevel="0" collapsed="false">
      <c r="A16" s="2" t="s">
        <v>670</v>
      </c>
      <c r="B16" s="2" t="s">
        <v>671</v>
      </c>
      <c r="C16" s="4" t="n">
        <v>0.5</v>
      </c>
      <c r="D16" s="2" t="n">
        <v>2</v>
      </c>
      <c r="E16" s="4" t="n">
        <f aca="false">C16*D16</f>
        <v>1</v>
      </c>
      <c r="F16" s="2" t="s">
        <v>672</v>
      </c>
    </row>
    <row r="17" customFormat="false" ht="15" hidden="false" customHeight="false" outlineLevel="0" collapsed="false">
      <c r="A17" s="3" t="s">
        <v>673</v>
      </c>
      <c r="B17" s="3" t="s">
        <v>674</v>
      </c>
      <c r="C17" s="3" t="n">
        <v>1</v>
      </c>
      <c r="D17" s="3" t="n">
        <v>3</v>
      </c>
      <c r="E17" s="5" t="n">
        <f aca="false">C17*D17</f>
        <v>3</v>
      </c>
      <c r="F17" s="3" t="s">
        <v>669</v>
      </c>
    </row>
    <row r="18" customFormat="false" ht="15" hidden="false" customHeight="false" outlineLevel="0" collapsed="false">
      <c r="A18" s="2" t="s">
        <v>675</v>
      </c>
      <c r="B18" s="2" t="s">
        <v>676</v>
      </c>
      <c r="C18" s="4" t="n">
        <v>0.5</v>
      </c>
      <c r="D18" s="2" t="n">
        <v>3</v>
      </c>
      <c r="E18" s="4" t="n">
        <f aca="false">C18*D18</f>
        <v>1.5</v>
      </c>
      <c r="F18" s="2" t="s">
        <v>677</v>
      </c>
    </row>
    <row r="19" customFormat="false" ht="15" hidden="false" customHeight="false" outlineLevel="0" collapsed="false">
      <c r="A19" s="3" t="s">
        <v>678</v>
      </c>
      <c r="B19" s="3" t="s">
        <v>679</v>
      </c>
      <c r="C19" s="3" t="n">
        <v>1</v>
      </c>
      <c r="D19" s="3" t="n">
        <v>4</v>
      </c>
      <c r="E19" s="5" t="n">
        <f aca="false">C19*D19</f>
        <v>4</v>
      </c>
      <c r="F19" s="3" t="s">
        <v>680</v>
      </c>
    </row>
    <row r="20" customFormat="false" ht="15" hidden="false" customHeight="false" outlineLevel="0" collapsed="false">
      <c r="A20" s="2" t="s">
        <v>681</v>
      </c>
      <c r="B20" s="2" t="s">
        <v>682</v>
      </c>
      <c r="C20" s="2" t="n">
        <v>2</v>
      </c>
      <c r="D20" s="2" t="n">
        <v>3</v>
      </c>
      <c r="E20" s="4" t="n">
        <f aca="false">C20*D20</f>
        <v>6</v>
      </c>
      <c r="F20" s="2" t="s">
        <v>683</v>
      </c>
    </row>
    <row r="21" customFormat="false" ht="15" hidden="false" customHeight="false" outlineLevel="0" collapsed="false">
      <c r="A21" s="3" t="s">
        <v>684</v>
      </c>
      <c r="B21" s="3" t="s">
        <v>685</v>
      </c>
      <c r="C21" s="3" t="n">
        <v>-1</v>
      </c>
      <c r="D21" s="3" t="n">
        <v>1</v>
      </c>
      <c r="E21" s="5" t="n">
        <f aca="false">C21*D21</f>
        <v>-1</v>
      </c>
      <c r="F21" s="3" t="s">
        <v>686</v>
      </c>
    </row>
    <row r="22" customFormat="false" ht="15" hidden="false" customHeight="false" outlineLevel="0" collapsed="false">
      <c r="A22" s="2" t="s">
        <v>687</v>
      </c>
      <c r="B22" s="2" t="s">
        <v>688</v>
      </c>
      <c r="C22" s="2" t="n">
        <v>-1</v>
      </c>
      <c r="D22" s="2" t="n">
        <v>2</v>
      </c>
      <c r="E22" s="4" t="n">
        <f aca="false">C22*D22</f>
        <v>-2</v>
      </c>
      <c r="F22" s="2" t="s">
        <v>689</v>
      </c>
    </row>
  </sheetData>
  <autoFilter ref="A1:F22"/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32"/>
  </cols>
  <sheetData>
    <row r="1" customFormat="false" ht="15" hidden="false" customHeight="false" outlineLevel="0" collapsed="false">
      <c r="A1" s="1" t="s">
        <v>690</v>
      </c>
      <c r="B1" s="1" t="s">
        <v>1</v>
      </c>
    </row>
    <row r="2" customFormat="false" ht="15" hidden="false" customHeight="false" outlineLevel="0" collapsed="false">
      <c r="A2" s="2" t="s">
        <v>691</v>
      </c>
      <c r="B2" s="4" t="n">
        <f aca="false">Работы!G34</f>
        <v>2304</v>
      </c>
    </row>
    <row r="3" customFormat="false" ht="15" hidden="false" customHeight="false" outlineLevel="0" collapsed="false">
      <c r="A3" s="3" t="s">
        <v>692</v>
      </c>
      <c r="B3" s="5" t="n">
        <f aca="false">Работы!I34</f>
        <v>2428</v>
      </c>
    </row>
    <row r="4" customFormat="false" ht="15" hidden="false" customHeight="false" outlineLevel="0" collapsed="false">
      <c r="A4" s="2" t="s">
        <v>693</v>
      </c>
      <c r="B4" s="4" t="n">
        <f aca="false">Работы!J34</f>
        <v>78.1451640644939</v>
      </c>
    </row>
    <row r="5" customFormat="false" ht="15" hidden="false" customHeight="false" outlineLevel="0" collapsed="false">
      <c r="A5" s="3" t="s">
        <v>694</v>
      </c>
      <c r="B5" s="5" t="n">
        <f aca="false">B3-1.96*B4</f>
        <v>2274.83547843359</v>
      </c>
    </row>
    <row r="6" customFormat="false" ht="15" hidden="false" customHeight="false" outlineLevel="0" collapsed="false">
      <c r="A6" s="2" t="s">
        <v>695</v>
      </c>
      <c r="B6" s="4" t="n">
        <f aca="false">B3+1.96*B4</f>
        <v>2581.16452156641</v>
      </c>
    </row>
    <row r="7" customFormat="false" ht="15" hidden="false" customHeight="false" outlineLevel="0" collapsed="false">
      <c r="A7" s="3" t="s">
        <v>696</v>
      </c>
      <c r="B7" s="5" t="n">
        <f aca="false">MAX(CPM!E2:E33)</f>
        <v>1234.66666666667</v>
      </c>
    </row>
    <row r="8" customFormat="false" ht="15" hidden="false" customHeight="false" outlineLevel="0" collapsed="false">
      <c r="A8" s="2" t="s">
        <v>289</v>
      </c>
      <c r="B8" s="4" t="n">
        <f aca="false">SUM('FP данные'!G2:G15)</f>
        <v>107</v>
      </c>
    </row>
    <row r="9" customFormat="false" ht="15" hidden="false" customHeight="false" outlineLevel="0" collapsed="false">
      <c r="A9" s="3" t="s">
        <v>697</v>
      </c>
      <c r="B9" s="3" t="n">
        <v>0</v>
      </c>
    </row>
    <row r="10" customFormat="false" ht="15" hidden="false" customHeight="false" outlineLevel="0" collapsed="false">
      <c r="A10" s="2" t="s">
        <v>698</v>
      </c>
      <c r="B10" s="4" t="n">
        <f aca="false">SUM('FP транзакции'!G2:G61)</f>
        <v>254</v>
      </c>
    </row>
    <row r="11" customFormat="false" ht="15" hidden="false" customHeight="false" outlineLevel="0" collapsed="false">
      <c r="A11" s="3" t="s">
        <v>699</v>
      </c>
      <c r="B11" s="5" t="n">
        <f aca="false">SUM(B8:B10)</f>
        <v>361</v>
      </c>
    </row>
    <row r="12" customFormat="false" ht="15" hidden="false" customHeight="false" outlineLevel="0" collapsed="false">
      <c r="A12" s="2" t="s">
        <v>700</v>
      </c>
      <c r="B12" s="4" t="n">
        <f aca="false">0.65+0.01*SUM(VAF!B2:B15)</f>
        <v>1.07</v>
      </c>
    </row>
    <row r="13" customFormat="false" ht="15" hidden="false" customHeight="false" outlineLevel="0" collapsed="false">
      <c r="A13" s="3" t="s">
        <v>701</v>
      </c>
      <c r="B13" s="5" t="n">
        <f aca="false">B11*B12</f>
        <v>386.27</v>
      </c>
    </row>
    <row r="14" customFormat="false" ht="15" hidden="false" customHeight="false" outlineLevel="0" collapsed="false">
      <c r="A14" s="2" t="s">
        <v>702</v>
      </c>
      <c r="B14" s="2" t="n">
        <v>47</v>
      </c>
    </row>
    <row r="15" customFormat="false" ht="15" hidden="false" customHeight="false" outlineLevel="0" collapsed="false">
      <c r="A15" s="3" t="s">
        <v>703</v>
      </c>
      <c r="B15" s="5" t="n">
        <f aca="false">B11*B14/1000</f>
        <v>16.967</v>
      </c>
    </row>
    <row r="16" customFormat="false" ht="15" hidden="false" customHeight="false" outlineLevel="0" collapsed="false">
      <c r="A16" s="2" t="s">
        <v>704</v>
      </c>
      <c r="B16" s="4" t="n">
        <f aca="false">SUM('COCOMO факторы'!B2:B6)</f>
        <v>18.97</v>
      </c>
    </row>
    <row r="17" customFormat="false" ht="15" hidden="false" customHeight="false" outlineLevel="0" collapsed="false">
      <c r="A17" s="3" t="s">
        <v>705</v>
      </c>
      <c r="B17" s="5" t="n">
        <f aca="false">0.91+0.01*B16</f>
        <v>1.0997</v>
      </c>
    </row>
    <row r="18" customFormat="false" ht="15" hidden="false" customHeight="false" outlineLevel="0" collapsed="false">
      <c r="A18" s="2" t="s">
        <v>706</v>
      </c>
      <c r="B18" s="4" t="n">
        <f aca="false">PRODUCT('COCOMO факторы'!B7:B13)</f>
        <v>1.1571</v>
      </c>
    </row>
    <row r="19" customFormat="false" ht="15" hidden="false" customHeight="false" outlineLevel="0" collapsed="false">
      <c r="A19" s="3" t="s">
        <v>707</v>
      </c>
      <c r="B19" s="5" t="n">
        <f aca="false">2.94*B15^B17*B18</f>
        <v>76.5446617598178</v>
      </c>
    </row>
    <row r="20" customFormat="false" ht="15" hidden="false" customHeight="false" outlineLevel="0" collapsed="false">
      <c r="A20" s="2" t="s">
        <v>708</v>
      </c>
      <c r="B20" s="4" t="n">
        <f aca="false">B19*152</f>
        <v>11634.7885874923</v>
      </c>
    </row>
    <row r="21" customFormat="false" ht="15" hidden="false" customHeight="false" outlineLevel="0" collapsed="false">
      <c r="A21" s="3" t="s">
        <v>709</v>
      </c>
      <c r="B21" s="5" t="n">
        <f aca="false">0.28+0.2*(B17-0.91)</f>
        <v>0.31794</v>
      </c>
    </row>
    <row r="22" customFormat="false" ht="15" hidden="false" customHeight="false" outlineLevel="0" collapsed="false">
      <c r="A22" s="2" t="s">
        <v>710</v>
      </c>
      <c r="B22" s="4" t="n">
        <f aca="false">3.67*B19^B21</f>
        <v>14.5759869297622</v>
      </c>
    </row>
    <row r="23" customFormat="false" ht="15" hidden="false" customHeight="false" outlineLevel="0" collapsed="false">
      <c r="A23" s="3" t="s">
        <v>711</v>
      </c>
      <c r="B23" s="5" t="n">
        <f aca="false">B19/B22</f>
        <v>5.25142222812536</v>
      </c>
    </row>
    <row r="24" customFormat="false" ht="15" hidden="false" customHeight="false" outlineLevel="0" collapsed="false">
      <c r="A24" s="2" t="s">
        <v>712</v>
      </c>
      <c r="B24" s="4" t="n">
        <f aca="false">SUM('UCP прецеденты'!G2:G26)</f>
        <v>240</v>
      </c>
    </row>
    <row r="25" customFormat="false" ht="15" hidden="false" customHeight="false" outlineLevel="0" collapsed="false">
      <c r="A25" s="3" t="s">
        <v>713</v>
      </c>
      <c r="B25" s="5" t="n">
        <f aca="false">SUM('UCP акторы'!B2:B9)</f>
        <v>16</v>
      </c>
    </row>
    <row r="26" customFormat="false" ht="15" hidden="false" customHeight="false" outlineLevel="0" collapsed="false">
      <c r="A26" s="2" t="s">
        <v>714</v>
      </c>
      <c r="B26" s="4" t="n">
        <f aca="false">SUM('UCP факторы'!E2:E14)</f>
        <v>40</v>
      </c>
    </row>
    <row r="27" customFormat="false" ht="15" hidden="false" customHeight="false" outlineLevel="0" collapsed="false">
      <c r="A27" s="3" t="s">
        <v>715</v>
      </c>
      <c r="B27" s="5" t="n">
        <f aca="false">0.6+0.01*B26</f>
        <v>1</v>
      </c>
    </row>
    <row r="28" customFormat="false" ht="15" hidden="false" customHeight="false" outlineLevel="0" collapsed="false">
      <c r="A28" s="2" t="s">
        <v>264</v>
      </c>
      <c r="B28" s="4" t="n">
        <f aca="false">SUM('UCP факторы'!E15:E22)</f>
        <v>17</v>
      </c>
    </row>
    <row r="29" customFormat="false" ht="15" hidden="false" customHeight="false" outlineLevel="0" collapsed="false">
      <c r="A29" s="3" t="s">
        <v>716</v>
      </c>
      <c r="B29" s="5" t="n">
        <f aca="false">1.4-0.03*B28</f>
        <v>0.89</v>
      </c>
    </row>
    <row r="30" customFormat="false" ht="15" hidden="false" customHeight="false" outlineLevel="0" collapsed="false">
      <c r="A30" s="2" t="s">
        <v>717</v>
      </c>
      <c r="B30" s="4" t="n">
        <f aca="false">(B24+B25)*B27*B29</f>
        <v>227.84</v>
      </c>
    </row>
    <row r="31" customFormat="false" ht="15" hidden="false" customHeight="false" outlineLevel="0" collapsed="false">
      <c r="A31" s="3" t="s">
        <v>718</v>
      </c>
      <c r="B31" s="3" t="n">
        <v>20</v>
      </c>
    </row>
    <row r="32" customFormat="false" ht="15" hidden="false" customHeight="false" outlineLevel="0" collapsed="false">
      <c r="A32" s="2" t="s">
        <v>719</v>
      </c>
      <c r="B32" s="4" t="n">
        <f aca="false">B30*B31</f>
        <v>4556.8</v>
      </c>
    </row>
  </sheetData>
  <autoFilter ref="A1:B32"/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28"/>
    <col collapsed="false" customWidth="true" hidden="false" outlineLevel="0" max="3" min="3" style="0" width="70"/>
  </cols>
  <sheetData>
    <row r="1" customFormat="false" ht="15" hidden="false" customHeight="false" outlineLevel="0" collapsed="false">
      <c r="A1" s="1" t="s">
        <v>720</v>
      </c>
      <c r="B1" s="1" t="s">
        <v>721</v>
      </c>
      <c r="C1" s="1" t="s">
        <v>722</v>
      </c>
    </row>
    <row r="2" customFormat="false" ht="15" hidden="false" customHeight="false" outlineLevel="0" collapsed="false">
      <c r="A2" s="2" t="n">
        <v>10</v>
      </c>
      <c r="B2" s="4" t="n">
        <f aca="false">Итоги!B30*A2</f>
        <v>2278.4</v>
      </c>
      <c r="C2" s="2" t="s">
        <v>723</v>
      </c>
    </row>
    <row r="3" customFormat="false" ht="15" hidden="false" customHeight="false" outlineLevel="0" collapsed="false">
      <c r="A3" s="3" t="n">
        <v>20</v>
      </c>
      <c r="B3" s="5" t="n">
        <f aca="false">Итоги!B30*A3</f>
        <v>4556.8</v>
      </c>
      <c r="C3" s="3" t="s">
        <v>723</v>
      </c>
    </row>
    <row r="4" customFormat="false" ht="15" hidden="false" customHeight="false" outlineLevel="0" collapsed="false">
      <c r="A4" s="2" t="n">
        <v>30</v>
      </c>
      <c r="B4" s="4" t="n">
        <f aca="false">Итоги!B30*A4</f>
        <v>6835.2</v>
      </c>
      <c r="C4" s="2" t="s">
        <v>723</v>
      </c>
    </row>
  </sheetData>
  <autoFilter ref="A1:C4"/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0"/>
    <col collapsed="false" customWidth="true" hidden="false" outlineLevel="0" max="3" min="3" style="0" width="100"/>
    <col collapsed="false" customWidth="true" hidden="false" outlineLevel="0" max="4" min="4" style="0" width="95"/>
  </cols>
  <sheetData>
    <row r="1" customFormat="false" ht="15" hidden="false" customHeight="false" outlineLevel="0" collapsed="false">
      <c r="A1" s="1" t="s">
        <v>29</v>
      </c>
      <c r="B1" s="1" t="s">
        <v>724</v>
      </c>
      <c r="C1" s="1" t="s">
        <v>725</v>
      </c>
      <c r="D1" s="1" t="s">
        <v>726</v>
      </c>
    </row>
    <row r="2" customFormat="false" ht="15" hidden="false" customHeight="false" outlineLevel="0" collapsed="false">
      <c r="A2" s="2" t="s">
        <v>727</v>
      </c>
      <c r="B2" s="2" t="s">
        <v>728</v>
      </c>
      <c r="C2" s="2" t="s">
        <v>729</v>
      </c>
      <c r="D2" s="2" t="s">
        <v>730</v>
      </c>
    </row>
    <row r="3" customFormat="false" ht="15" hidden="false" customHeight="false" outlineLevel="0" collapsed="false">
      <c r="A3" s="3" t="s">
        <v>731</v>
      </c>
      <c r="B3" s="3" t="s">
        <v>732</v>
      </c>
      <c r="C3" s="3" t="s">
        <v>733</v>
      </c>
      <c r="D3" s="3" t="s">
        <v>734</v>
      </c>
    </row>
    <row r="4" customFormat="false" ht="15" hidden="false" customHeight="false" outlineLevel="0" collapsed="false">
      <c r="A4" s="2" t="s">
        <v>735</v>
      </c>
      <c r="B4" s="2" t="s">
        <v>736</v>
      </c>
      <c r="C4" s="2" t="s">
        <v>737</v>
      </c>
      <c r="D4" s="2" t="s">
        <v>738</v>
      </c>
    </row>
    <row r="5" customFormat="false" ht="15" hidden="false" customHeight="false" outlineLevel="0" collapsed="false">
      <c r="A5" s="3" t="s">
        <v>739</v>
      </c>
      <c r="B5" s="3" t="s">
        <v>740</v>
      </c>
      <c r="C5" s="3" t="s">
        <v>741</v>
      </c>
      <c r="D5" s="3" t="s">
        <v>742</v>
      </c>
    </row>
    <row r="6" customFormat="false" ht="15" hidden="false" customHeight="false" outlineLevel="0" collapsed="false">
      <c r="A6" s="2" t="s">
        <v>743</v>
      </c>
      <c r="B6" s="2" t="s">
        <v>744</v>
      </c>
      <c r="C6" s="2" t="s">
        <v>745</v>
      </c>
      <c r="D6" s="2" t="s">
        <v>746</v>
      </c>
    </row>
    <row r="7" customFormat="false" ht="15" hidden="false" customHeight="false" outlineLevel="0" collapsed="false">
      <c r="A7" s="3" t="s">
        <v>747</v>
      </c>
      <c r="B7" s="3" t="s">
        <v>748</v>
      </c>
      <c r="C7" s="3" t="s">
        <v>749</v>
      </c>
      <c r="D7" s="3" t="s">
        <v>750</v>
      </c>
    </row>
    <row r="8" customFormat="false" ht="15" hidden="false" customHeight="false" outlineLevel="0" collapsed="false">
      <c r="A8" s="2" t="s">
        <v>751</v>
      </c>
      <c r="B8" s="2" t="s">
        <v>752</v>
      </c>
      <c r="C8" s="2" t="s">
        <v>753</v>
      </c>
      <c r="D8" s="2" t="s">
        <v>754</v>
      </c>
    </row>
    <row r="9" customFormat="false" ht="15" hidden="false" customHeight="false" outlineLevel="0" collapsed="false">
      <c r="A9" s="3" t="s">
        <v>755</v>
      </c>
      <c r="B9" s="3" t="s">
        <v>756</v>
      </c>
      <c r="C9" s="3" t="s">
        <v>757</v>
      </c>
      <c r="D9" s="3" t="s">
        <v>758</v>
      </c>
    </row>
    <row r="10" customFormat="false" ht="15" hidden="false" customHeight="false" outlineLevel="0" collapsed="false">
      <c r="A10" s="2" t="s">
        <v>759</v>
      </c>
      <c r="B10" s="2" t="s">
        <v>760</v>
      </c>
      <c r="C10" s="2" t="s">
        <v>761</v>
      </c>
      <c r="D10" s="2" t="s">
        <v>762</v>
      </c>
    </row>
    <row r="11" customFormat="false" ht="15" hidden="false" customHeight="false" outlineLevel="0" collapsed="false">
      <c r="A11" s="3" t="s">
        <v>763</v>
      </c>
      <c r="B11" s="3" t="s">
        <v>764</v>
      </c>
      <c r="C11" s="3" t="s">
        <v>765</v>
      </c>
      <c r="D11" s="3" t="s">
        <v>766</v>
      </c>
    </row>
    <row r="12" customFormat="false" ht="15" hidden="false" customHeight="false" outlineLevel="0" collapsed="false">
      <c r="A12" s="2" t="s">
        <v>767</v>
      </c>
      <c r="B12" s="2" t="s">
        <v>768</v>
      </c>
      <c r="C12" s="2" t="s">
        <v>769</v>
      </c>
      <c r="D12" s="2" t="s">
        <v>770</v>
      </c>
    </row>
    <row r="13" customFormat="false" ht="15" hidden="false" customHeight="false" outlineLevel="0" collapsed="false">
      <c r="A13" s="3" t="s">
        <v>771</v>
      </c>
      <c r="B13" s="3" t="s">
        <v>772</v>
      </c>
      <c r="C13" s="3" t="s">
        <v>773</v>
      </c>
      <c r="D13" s="3" t="s">
        <v>774</v>
      </c>
    </row>
    <row r="14" customFormat="false" ht="15" hidden="false" customHeight="false" outlineLevel="0" collapsed="false">
      <c r="A14" s="2" t="s">
        <v>775</v>
      </c>
      <c r="B14" s="2" t="s">
        <v>776</v>
      </c>
      <c r="C14" s="2" t="s">
        <v>777</v>
      </c>
      <c r="D14" s="2" t="s">
        <v>778</v>
      </c>
    </row>
    <row r="15" customFormat="false" ht="15" hidden="false" customHeight="false" outlineLevel="0" collapsed="false">
      <c r="A15" s="3" t="s">
        <v>779</v>
      </c>
      <c r="B15" s="3" t="s">
        <v>780</v>
      </c>
      <c r="C15" s="3" t="s">
        <v>781</v>
      </c>
      <c r="D15" s="3" t="s">
        <v>782</v>
      </c>
    </row>
    <row r="16" customFormat="false" ht="23.85" hidden="false" customHeight="false" outlineLevel="0" collapsed="false">
      <c r="A16" s="2" t="s">
        <v>783</v>
      </c>
      <c r="B16" s="2" t="s">
        <v>784</v>
      </c>
      <c r="C16" s="2" t="s">
        <v>785</v>
      </c>
      <c r="D16" s="2" t="s">
        <v>786</v>
      </c>
    </row>
  </sheetData>
  <autoFilter ref="A1:D16"/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2026-09-14T12:25:14Z</dcterms:created>
  <dc:creator>openpyxl</dc:creator>
  <dc:description/>
  <dc:language>ru-RU</dc:language>
  <cp:lastModifiedBy/>
  <dcterms:modified xsi:type="dcterms:W3CDTF">2026-09-14T12:25:14Z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